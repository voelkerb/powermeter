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7A2D7E96-6E34-419A-AE5F-296B3A7E7977}"/>
  <workbookPr showInkAnnotation="0" codeName="ThisWorkbook"/>
  <mc:AlternateContent xmlns:mc="http://schemas.openxmlformats.org/markup-compatibility/2006">
    <mc:Choice Requires="x15">
      <x15ac:absPath xmlns:x15ac="http://schemas.microsoft.com/office/spreadsheetml/2010/11/ac" url="/Users/Pascal/ESE/5. Semester/ESE Projekt/ST Krämpel/"/>
    </mc:Choice>
  </mc:AlternateContent>
  <bookViews>
    <workbookView xWindow="0" yWindow="440" windowWidth="28800" windowHeight="17480" firstSheet="2" activeTab="2"/>
  </bookViews>
  <sheets>
    <sheet name="Read Me" sheetId="3" r:id="rId1"/>
    <sheet name="Design wizard calculation" sheetId="4" r:id="rId2"/>
    <sheet name="Calculation for shunt and CT" sheetId="5" r:id="rId3"/>
    <sheet name="Amplitude Calibration" sheetId="6" r:id="rId4"/>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N28" i="5" l="1"/>
  <c r="N32" i="5"/>
  <c r="N12" i="5"/>
  <c r="N29" i="5"/>
  <c r="N17" i="5"/>
  <c r="N16" i="5"/>
  <c r="I32" i="6"/>
  <c r="C32" i="6"/>
  <c r="C37" i="6"/>
  <c r="C25" i="5"/>
  <c r="C24" i="5"/>
  <c r="I42" i="5"/>
  <c r="K43" i="5"/>
  <c r="I39" i="5"/>
  <c r="K40" i="5"/>
  <c r="I32" i="5"/>
  <c r="K30" i="5"/>
  <c r="I24" i="5"/>
  <c r="K22" i="5"/>
  <c r="C42" i="5"/>
  <c r="E43" i="5"/>
  <c r="C32" i="5"/>
  <c r="E30" i="5"/>
  <c r="E22" i="5"/>
  <c r="I27" i="6"/>
  <c r="C67" i="4"/>
  <c r="C68" i="4"/>
  <c r="C69" i="4"/>
  <c r="C62" i="4"/>
  <c r="C71" i="4"/>
  <c r="C57" i="4"/>
  <c r="C43" i="4"/>
  <c r="C42" i="4"/>
  <c r="C38" i="4"/>
  <c r="C56" i="4"/>
  <c r="E37" i="4"/>
  <c r="C58" i="4"/>
  <c r="C19" i="4"/>
  <c r="C33" i="4"/>
  <c r="C40" i="4"/>
  <c r="H6" i="5"/>
  <c r="C47" i="4"/>
  <c r="C48" i="4"/>
  <c r="C59" i="4"/>
  <c r="C55" i="4"/>
  <c r="C50" i="4"/>
  <c r="C51" i="4"/>
  <c r="E32" i="4"/>
  <c r="C63" i="4"/>
  <c r="C64" i="4"/>
  <c r="C72" i="4"/>
  <c r="C74" i="4"/>
  <c r="C35" i="4"/>
  <c r="C49" i="4"/>
  <c r="C46" i="4"/>
  <c r="C49" i="5"/>
  <c r="C52" i="4"/>
  <c r="C53" i="4"/>
  <c r="I33" i="6"/>
  <c r="C33" i="6"/>
  <c r="I28" i="6"/>
  <c r="C28" i="6"/>
  <c r="I15" i="6"/>
  <c r="K26" i="6"/>
  <c r="C15" i="6"/>
  <c r="I14" i="6"/>
  <c r="I22" i="6"/>
  <c r="K21" i="6"/>
  <c r="C14" i="6"/>
  <c r="C22" i="6"/>
  <c r="E21" i="6"/>
  <c r="C121" i="4"/>
  <c r="C140" i="4"/>
  <c r="C145" i="4"/>
  <c r="I37" i="6"/>
  <c r="I38" i="6"/>
  <c r="I34" i="6"/>
  <c r="K32" i="6"/>
  <c r="C27" i="6"/>
  <c r="E26" i="6"/>
  <c r="C34" i="6"/>
  <c r="E32" i="6"/>
  <c r="C149" i="4"/>
  <c r="K37" i="6"/>
  <c r="C38" i="6"/>
  <c r="E37" i="6"/>
  <c r="I34" i="5"/>
  <c r="I33" i="5"/>
  <c r="I26" i="5"/>
  <c r="I40" i="5"/>
  <c r="I16" i="5"/>
  <c r="I15" i="5"/>
  <c r="C16" i="5"/>
  <c r="C15" i="5"/>
  <c r="I41" i="5"/>
  <c r="I23" i="5"/>
  <c r="I31" i="5"/>
  <c r="I44" i="5"/>
  <c r="I45" i="5"/>
  <c r="I46" i="5"/>
  <c r="I50" i="5"/>
  <c r="I49" i="5"/>
  <c r="I59" i="5"/>
  <c r="I60" i="5"/>
  <c r="I61" i="5"/>
  <c r="I54" i="5"/>
  <c r="C59" i="5"/>
  <c r="C60" i="5"/>
  <c r="C61" i="5"/>
  <c r="C54" i="5"/>
  <c r="C50" i="5"/>
  <c r="I145" i="4"/>
  <c r="I140" i="4"/>
  <c r="C120" i="4"/>
  <c r="C111" i="4"/>
  <c r="C113" i="4"/>
  <c r="C133" i="4"/>
  <c r="C137" i="4"/>
  <c r="C141" i="4"/>
  <c r="C142" i="4"/>
  <c r="I149" i="4"/>
  <c r="C63" i="5"/>
  <c r="I63" i="5"/>
  <c r="I47" i="5"/>
  <c r="I55" i="5"/>
  <c r="I56" i="5"/>
  <c r="C55" i="5"/>
  <c r="C56" i="5"/>
  <c r="I116" i="4"/>
  <c r="I134" i="4"/>
  <c r="I146" i="4"/>
  <c r="I147" i="4"/>
  <c r="I121" i="4"/>
  <c r="E110" i="4"/>
  <c r="I120" i="4"/>
  <c r="I136" i="4"/>
  <c r="I135" i="4"/>
  <c r="I97" i="4"/>
  <c r="I111" i="4"/>
  <c r="C97" i="4"/>
  <c r="C116" i="4"/>
  <c r="C125" i="4"/>
  <c r="C126" i="4"/>
  <c r="C134" i="4"/>
  <c r="C146" i="4"/>
  <c r="C147" i="4"/>
  <c r="C150" i="4"/>
  <c r="C152" i="4"/>
  <c r="C127" i="4"/>
  <c r="C128" i="4"/>
  <c r="C129" i="4"/>
  <c r="C124" i="4"/>
  <c r="C136" i="4"/>
  <c r="C135" i="4"/>
  <c r="I137" i="4"/>
  <c r="I133" i="4"/>
  <c r="I125" i="4"/>
  <c r="I126" i="4"/>
  <c r="I128" i="4"/>
  <c r="I129" i="4"/>
  <c r="I127" i="4"/>
  <c r="I141" i="4"/>
  <c r="I142" i="4"/>
  <c r="I150" i="4"/>
  <c r="I152" i="4"/>
  <c r="I124" i="4"/>
  <c r="C118" i="4"/>
  <c r="I118" i="4"/>
  <c r="K115" i="4"/>
  <c r="E115" i="4"/>
  <c r="C130" i="4"/>
  <c r="C131" i="4"/>
  <c r="I131" i="4"/>
  <c r="I130" i="4"/>
  <c r="C40" i="5"/>
  <c r="C39" i="5"/>
  <c r="E40" i="5"/>
  <c r="I37" i="5"/>
  <c r="I38" i="5"/>
  <c r="I64" i="5"/>
  <c r="I70" i="5"/>
  <c r="I51" i="5"/>
  <c r="C34" i="5"/>
  <c r="C26" i="5"/>
  <c r="C64" i="5"/>
  <c r="C70" i="5"/>
  <c r="C37" i="5"/>
  <c r="C38" i="5"/>
  <c r="C51" i="5"/>
  <c r="C33" i="5"/>
  <c r="C31" i="5"/>
  <c r="C23" i="5"/>
  <c r="C41" i="5"/>
  <c r="C45" i="5"/>
  <c r="C46" i="5"/>
  <c r="C44" i="5"/>
  <c r="I113" i="4"/>
  <c r="K110" i="4"/>
  <c r="C47" i="5"/>
</calcChain>
</file>

<file path=xl/comments1.xml><?xml version="1.0" encoding="utf-8"?>
<comments xmlns="http://schemas.openxmlformats.org/spreadsheetml/2006/main">
  <authors>
    <author>Didier HERROUIN</author>
  </authors>
  <commentList>
    <comment ref="F56" authorId="0">
      <text>
        <r>
          <rPr>
            <b/>
            <sz val="9"/>
            <color indexed="81"/>
            <rFont val="Tahoma"/>
            <family val="2"/>
          </rPr>
          <t>It is due to 2nd order ADC (it was 100% in STPM10)</t>
        </r>
        <r>
          <rPr>
            <sz val="9"/>
            <color indexed="81"/>
            <rFont val="Tahoma"/>
            <family val="2"/>
          </rPr>
          <t xml:space="preserve">
</t>
        </r>
      </text>
    </comment>
    <comment ref="L56" authorId="0">
      <text>
        <r>
          <rPr>
            <b/>
            <sz val="9"/>
            <color indexed="81"/>
            <rFont val="Tahoma"/>
            <family val="2"/>
          </rPr>
          <t>It is due to 2nd order ADC (it was 100% in STPM10)</t>
        </r>
        <r>
          <rPr>
            <sz val="9"/>
            <color indexed="81"/>
            <rFont val="Tahoma"/>
            <family val="2"/>
          </rPr>
          <t xml:space="preserve">
</t>
        </r>
      </text>
    </comment>
  </commentList>
</comments>
</file>

<file path=xl/sharedStrings.xml><?xml version="1.0" encoding="utf-8"?>
<sst xmlns="http://schemas.openxmlformats.org/spreadsheetml/2006/main" count="777" uniqueCount="210">
  <si>
    <t>Ai</t>
  </si>
  <si>
    <t>Internal Reference</t>
  </si>
  <si>
    <t>Av</t>
  </si>
  <si>
    <t>HOW TO USE THIS WORKBOOK</t>
  </si>
  <si>
    <t>V</t>
  </si>
  <si>
    <t>A</t>
  </si>
  <si>
    <t>Maximum current</t>
  </si>
  <si>
    <t>Ohm</t>
  </si>
  <si>
    <t>R2</t>
  </si>
  <si>
    <t>mV/A</t>
  </si>
  <si>
    <t>R1</t>
  </si>
  <si>
    <t>Vref</t>
  </si>
  <si>
    <t>Hz</t>
  </si>
  <si>
    <t xml:space="preserve"> </t>
  </si>
  <si>
    <t>DEVICE</t>
  </si>
  <si>
    <t>Nominal Current - Standard values: 1, 2, 5, 10 A</t>
  </si>
  <si>
    <t>mV</t>
  </si>
  <si>
    <t>Wh</t>
  </si>
  <si>
    <t>STPM3x</t>
  </si>
  <si>
    <t>Nominal Voltage (RMS)</t>
  </si>
  <si>
    <t>Voltage divider resistor</t>
  </si>
  <si>
    <t>Max voltage at input = Vmax_peak * R1/(R1+R2)</t>
  </si>
  <si>
    <t xml:space="preserve">Ks  </t>
  </si>
  <si>
    <t>Max voltage at current input = Imax_peak * Rb/N (Ks)</t>
  </si>
  <si>
    <r>
      <t>RMS values so Pmax= 1/2 * Vmax_peak  * Imax_peak * cos</t>
    </r>
    <r>
      <rPr>
        <sz val="10"/>
        <rFont val="Century Gothic"/>
        <family val="2"/>
      </rPr>
      <t>φ</t>
    </r>
  </si>
  <si>
    <t>W</t>
  </si>
  <si>
    <t>CHV</t>
  </si>
  <si>
    <t>CHI</t>
  </si>
  <si>
    <t>Imp/kWh</t>
  </si>
  <si>
    <t>ADC sampling frequency</t>
  </si>
  <si>
    <t>Maximum peak voltage</t>
  </si>
  <si>
    <t>ADC sigma delta integration</t>
  </si>
  <si>
    <t>Pulse value = 3600000 / Cp</t>
  </si>
  <si>
    <r>
      <t>P</t>
    </r>
    <r>
      <rPr>
        <b/>
        <vertAlign val="subscript"/>
        <sz val="10"/>
        <rFont val="Tahoma"/>
        <family val="2"/>
      </rPr>
      <t>pulse</t>
    </r>
    <r>
      <rPr>
        <b/>
        <sz val="10"/>
        <rFont val="Tahoma"/>
        <family val="2"/>
      </rPr>
      <t xml:space="preserve"> (Pulse value)</t>
    </r>
  </si>
  <si>
    <t>Ws</t>
  </si>
  <si>
    <t>Sampling freq Fs</t>
  </si>
  <si>
    <t>mW/LSB</t>
  </si>
  <si>
    <t>PMAX (Input power max)</t>
  </si>
  <si>
    <t>mWs/LSB</t>
  </si>
  <si>
    <t xml:space="preserve">Energy overflow </t>
  </si>
  <si>
    <r>
      <t>Overflow = LSB</t>
    </r>
    <r>
      <rPr>
        <vertAlign val="subscript"/>
        <sz val="10"/>
        <rFont val="Tahoma"/>
        <family val="2"/>
      </rPr>
      <t>E</t>
    </r>
    <r>
      <rPr>
        <sz val="10"/>
        <rFont val="Tahoma"/>
        <family val="2"/>
      </rPr>
      <t xml:space="preserve"> * 2^32 / (3600 *1000 to convert in Wh)</t>
    </r>
  </si>
  <si>
    <t>s</t>
  </si>
  <si>
    <t>Overflow time = PMAX /  Energy overflow * 3600</t>
  </si>
  <si>
    <t>Time for overflow (at PMAX)</t>
  </si>
  <si>
    <t xml:space="preserve">Goal is to keep it &lt; 50% </t>
  </si>
  <si>
    <r>
      <t>f</t>
    </r>
    <r>
      <rPr>
        <vertAlign val="subscript"/>
        <sz val="10"/>
        <rFont val="Tahoma"/>
        <family val="2"/>
      </rPr>
      <t>LED</t>
    </r>
    <r>
      <rPr>
        <sz val="10"/>
        <rFont val="Tahoma"/>
        <family val="2"/>
      </rPr>
      <t xml:space="preserve"> at Pmax</t>
    </r>
  </si>
  <si>
    <r>
      <t>f</t>
    </r>
    <r>
      <rPr>
        <vertAlign val="subscript"/>
        <sz val="10"/>
        <rFont val="Tahoma"/>
        <family val="2"/>
      </rPr>
      <t>LED_PMAX</t>
    </r>
    <r>
      <rPr>
        <sz val="10"/>
        <rFont val="Tahoma"/>
        <family val="2"/>
      </rPr>
      <t xml:space="preserve"> = Preg_max * Fs / (LED_div_factor </t>
    </r>
    <r>
      <rPr>
        <b/>
        <sz val="10"/>
        <color rgb="FFFF0000"/>
        <rFont val="Tahoma"/>
        <family val="2"/>
      </rPr>
      <t>* 2)</t>
    </r>
  </si>
  <si>
    <r>
      <t>Max peak Voltage VRMS*</t>
    </r>
    <r>
      <rPr>
        <sz val="10"/>
        <rFont val="Lucida Sans"/>
        <family val="2"/>
      </rPr>
      <t>√</t>
    </r>
    <r>
      <rPr>
        <sz val="8"/>
        <rFont val="Tahoma"/>
        <family val="2"/>
      </rPr>
      <t>2</t>
    </r>
  </si>
  <si>
    <t>Maximum peak curennt IRMS*√2</t>
  </si>
  <si>
    <t>mA</t>
  </si>
  <si>
    <r>
      <t>I</t>
    </r>
    <r>
      <rPr>
        <b/>
        <vertAlign val="subscript"/>
        <sz val="10"/>
        <rFont val="Tahoma"/>
        <family val="2"/>
      </rPr>
      <t>max</t>
    </r>
  </si>
  <si>
    <r>
      <t>Maximum current (RMS), for which we will get I</t>
    </r>
    <r>
      <rPr>
        <vertAlign val="subscript"/>
        <sz val="10"/>
        <rFont val="Tahoma"/>
        <family val="2"/>
      </rPr>
      <t>∑∆</t>
    </r>
    <r>
      <rPr>
        <sz val="10"/>
        <rFont val="Tahoma"/>
        <family val="2"/>
      </rPr>
      <t>=50%</t>
    </r>
  </si>
  <si>
    <r>
      <t>V</t>
    </r>
    <r>
      <rPr>
        <b/>
        <vertAlign val="subscript"/>
        <sz val="10"/>
        <rFont val="Tahoma"/>
        <family val="2"/>
      </rPr>
      <t>max_rms</t>
    </r>
    <r>
      <rPr>
        <b/>
        <sz val="10"/>
        <rFont val="Tahoma"/>
        <family val="2"/>
      </rPr>
      <t xml:space="preserve"> </t>
    </r>
    <r>
      <rPr>
        <b/>
        <sz val="9"/>
        <rFont val="Tahoma"/>
        <family val="2"/>
      </rPr>
      <t>(example)</t>
    </r>
  </si>
  <si>
    <r>
      <t>V</t>
    </r>
    <r>
      <rPr>
        <b/>
        <vertAlign val="subscript"/>
        <sz val="10"/>
        <color theme="3"/>
        <rFont val="Tahoma"/>
        <family val="2"/>
      </rPr>
      <t>in_rms</t>
    </r>
  </si>
  <si>
    <r>
      <t>ΣΔ bit stream = V</t>
    </r>
    <r>
      <rPr>
        <vertAlign val="subscript"/>
        <sz val="10"/>
        <rFont val="Tahoma"/>
        <family val="2"/>
      </rPr>
      <t xml:space="preserve">in </t>
    </r>
    <r>
      <rPr>
        <sz val="10"/>
        <rFont val="Tahoma"/>
        <family val="2"/>
      </rPr>
      <t xml:space="preserve">*   R1/(R1+R2) / Vref  * Av </t>
    </r>
  </si>
  <si>
    <r>
      <t>V</t>
    </r>
    <r>
      <rPr>
        <b/>
        <vertAlign val="subscript"/>
        <sz val="10"/>
        <color theme="5"/>
        <rFont val="Tahoma"/>
        <family val="2"/>
      </rPr>
      <t xml:space="preserve">max_peak </t>
    </r>
    <r>
      <rPr>
        <b/>
        <sz val="9"/>
        <color theme="5"/>
        <rFont val="Tahoma"/>
        <family val="2"/>
      </rPr>
      <t>(calculated from RMS)</t>
    </r>
  </si>
  <si>
    <r>
      <t>V</t>
    </r>
    <r>
      <rPr>
        <b/>
        <vertAlign val="subscript"/>
        <sz val="10"/>
        <color theme="5"/>
        <rFont val="Lucida Sans"/>
        <family val="2"/>
      </rPr>
      <t>∑∆ stream</t>
    </r>
    <r>
      <rPr>
        <b/>
        <sz val="10"/>
        <color theme="5"/>
        <rFont val="Lucida Sans"/>
        <family val="2"/>
      </rPr>
      <t xml:space="preserve"> at </t>
    </r>
    <r>
      <rPr>
        <b/>
        <u/>
        <sz val="10"/>
        <color theme="5"/>
        <rFont val="Lucida Sans"/>
        <family val="2"/>
      </rPr>
      <t>Vmax_peak</t>
    </r>
  </si>
  <si>
    <r>
      <t>V</t>
    </r>
    <r>
      <rPr>
        <b/>
        <vertAlign val="subscript"/>
        <sz val="10"/>
        <color theme="3"/>
        <rFont val="Lucida Sans"/>
        <family val="2"/>
      </rPr>
      <t>∑∆ stream</t>
    </r>
    <r>
      <rPr>
        <b/>
        <sz val="10"/>
        <color theme="3"/>
        <rFont val="Lucida Sans"/>
        <family val="2"/>
      </rPr>
      <t xml:space="preserve"> at V</t>
    </r>
    <r>
      <rPr>
        <b/>
        <vertAlign val="subscript"/>
        <sz val="10"/>
        <color theme="3"/>
        <rFont val="Lucida Sans"/>
        <family val="2"/>
      </rPr>
      <t>in_rms</t>
    </r>
  </si>
  <si>
    <r>
      <t>V</t>
    </r>
    <r>
      <rPr>
        <b/>
        <vertAlign val="subscript"/>
        <sz val="10"/>
        <color theme="5"/>
        <rFont val="Tahoma"/>
        <family val="2"/>
      </rPr>
      <t>inV_MAX</t>
    </r>
  </si>
  <si>
    <r>
      <t>I</t>
    </r>
    <r>
      <rPr>
        <b/>
        <vertAlign val="subscript"/>
        <sz val="10"/>
        <color theme="5"/>
        <rFont val="Tahoma"/>
        <family val="2"/>
      </rPr>
      <t>max_peak</t>
    </r>
  </si>
  <si>
    <r>
      <t>V</t>
    </r>
    <r>
      <rPr>
        <b/>
        <vertAlign val="subscript"/>
        <sz val="10"/>
        <color theme="5"/>
        <rFont val="Tahoma"/>
        <family val="2"/>
      </rPr>
      <t>inC_MAX</t>
    </r>
  </si>
  <si>
    <r>
      <t>I</t>
    </r>
    <r>
      <rPr>
        <b/>
        <vertAlign val="subscript"/>
        <sz val="10"/>
        <color theme="5"/>
        <rFont val="Lucida Sans"/>
        <family val="2"/>
      </rPr>
      <t xml:space="preserve">∑∆ stream </t>
    </r>
    <r>
      <rPr>
        <b/>
        <sz val="10"/>
        <color theme="5"/>
        <rFont val="Lucida Sans"/>
        <family val="2"/>
      </rPr>
      <t xml:space="preserve">at </t>
    </r>
    <r>
      <rPr>
        <b/>
        <u/>
        <sz val="10"/>
        <color theme="5"/>
        <rFont val="Lucida Sans"/>
        <family val="2"/>
      </rPr>
      <t>Imax_peak</t>
    </r>
  </si>
  <si>
    <r>
      <t>I</t>
    </r>
    <r>
      <rPr>
        <b/>
        <vertAlign val="subscript"/>
        <sz val="10"/>
        <color theme="3"/>
        <rFont val="Tahoma"/>
        <family val="2"/>
      </rPr>
      <t>in_nominal</t>
    </r>
  </si>
  <si>
    <r>
      <t>I</t>
    </r>
    <r>
      <rPr>
        <b/>
        <vertAlign val="subscript"/>
        <sz val="10"/>
        <color theme="3"/>
        <rFont val="Lucida Sans"/>
        <family val="2"/>
      </rPr>
      <t xml:space="preserve">∑∆ stream </t>
    </r>
    <r>
      <rPr>
        <b/>
        <sz val="10"/>
        <color theme="3"/>
        <rFont val="Lucida Sans"/>
        <family val="2"/>
      </rPr>
      <t>at I</t>
    </r>
    <r>
      <rPr>
        <b/>
        <vertAlign val="subscript"/>
        <sz val="10"/>
        <color theme="3"/>
        <rFont val="Lucida Sans"/>
        <family val="2"/>
      </rPr>
      <t>in_nominal</t>
    </r>
  </si>
  <si>
    <r>
      <t>P</t>
    </r>
    <r>
      <rPr>
        <b/>
        <vertAlign val="subscript"/>
        <sz val="10"/>
        <color theme="5"/>
        <rFont val="Tahoma"/>
        <family val="2"/>
      </rPr>
      <t>reg_max</t>
    </r>
    <r>
      <rPr>
        <b/>
        <sz val="10"/>
        <color theme="5"/>
        <rFont val="Tahoma"/>
        <family val="2"/>
      </rPr>
      <t xml:space="preserve"> </t>
    </r>
    <r>
      <rPr>
        <b/>
        <sz val="8"/>
        <color theme="5"/>
        <rFont val="Tahoma"/>
        <family val="2"/>
      </rPr>
      <t>(Active power register for Pmax)</t>
    </r>
  </si>
  <si>
    <r>
      <t>I</t>
    </r>
    <r>
      <rPr>
        <vertAlign val="subscript"/>
        <sz val="10"/>
        <rFont val="Tahoma"/>
        <family val="2"/>
      </rPr>
      <t>MAX</t>
    </r>
  </si>
  <si>
    <r>
      <t>I</t>
    </r>
    <r>
      <rPr>
        <vertAlign val="subscript"/>
        <sz val="10"/>
        <rFont val="Tahoma"/>
        <family val="2"/>
      </rPr>
      <t>MIN</t>
    </r>
  </si>
  <si>
    <t>= 1/2 * Vref / (Ai*√2) * 1/ks</t>
  </si>
  <si>
    <t>Max voltage at current input = Imax_peak * Rb</t>
  </si>
  <si>
    <t>Pnom (Vnom * Inom)</t>
  </si>
  <si>
    <t>LSB voltage</t>
  </si>
  <si>
    <r>
      <t>V</t>
    </r>
    <r>
      <rPr>
        <vertAlign val="subscript"/>
        <sz val="10"/>
        <rFont val="Tahoma"/>
        <family val="2"/>
      </rPr>
      <t>RMS_MAX</t>
    </r>
  </si>
  <si>
    <r>
      <t>= 1/2 * Vref / (AV*</t>
    </r>
    <r>
      <rPr>
        <sz val="8"/>
        <rFont val="Lucida Sans"/>
        <family val="2"/>
      </rPr>
      <t>√</t>
    </r>
    <r>
      <rPr>
        <sz val="8"/>
        <rFont val="Tahoma"/>
        <family val="2"/>
      </rPr>
      <t>2)*(R1+R2)/R2 as Vin_max=Vref/2=R2/(R1+R2)*Vrms_max*√2*Av</t>
    </r>
  </si>
  <si>
    <t>Current gain (often 2 for a CT)</t>
  </si>
  <si>
    <t>Register setting=2^(reg_val-4)</t>
  </si>
  <si>
    <r>
      <t>Goal is to keep it (V</t>
    </r>
    <r>
      <rPr>
        <b/>
        <vertAlign val="subscript"/>
        <sz val="10"/>
        <color rgb="FFFF0000"/>
        <rFont val="Tahoma"/>
        <family val="2"/>
      </rPr>
      <t>inV_MAX</t>
    </r>
    <r>
      <rPr>
        <b/>
        <sz val="10"/>
        <color rgb="FFFF0000"/>
        <rFont val="Tahoma"/>
        <family val="2"/>
      </rPr>
      <t>*Av/Vref)&lt; 50% to</t>
    </r>
    <r>
      <rPr>
        <b/>
        <sz val="8"/>
        <color rgb="FFFF0000"/>
        <rFont val="Tahoma"/>
        <family val="2"/>
      </rPr>
      <t xml:space="preserve"> minimize distorsion
It is due to 2nd order ADC (it was 100% in STPM10)</t>
    </r>
  </si>
  <si>
    <r>
      <t>f</t>
    </r>
    <r>
      <rPr>
        <b/>
        <vertAlign val="subscript"/>
        <sz val="10"/>
        <rFont val="Tahoma"/>
        <family val="2"/>
      </rPr>
      <t>LED</t>
    </r>
    <r>
      <rPr>
        <b/>
        <sz val="10"/>
        <rFont val="Tahoma"/>
        <family val="2"/>
      </rPr>
      <t xml:space="preserve"> at Pnom</t>
    </r>
  </si>
  <si>
    <t>LED division factor (LPW)</t>
  </si>
  <si>
    <t>Sensitivity Cp</t>
  </si>
  <si>
    <t>LSBP (mW/LSB)</t>
  </si>
  <si>
    <t>LSBE (mWs/LSB)</t>
  </si>
  <si>
    <t>Time for overflow (at Pnom)</t>
  </si>
  <si>
    <t xml:space="preserve">LSB current </t>
  </si>
  <si>
    <t>Device parameters</t>
  </si>
  <si>
    <t>RMS block gain</t>
  </si>
  <si>
    <t>Voltage ADC gain</t>
  </si>
  <si>
    <t>Application parameters</t>
  </si>
  <si>
    <t>Output values</t>
  </si>
  <si>
    <t>Register value</t>
  </si>
  <si>
    <t>Shunt value (in mV/A)</t>
  </si>
  <si>
    <t>ADC sigma delta integration (for information)</t>
  </si>
  <si>
    <r>
      <t>= 1/2 * Vref / (AV*</t>
    </r>
    <r>
      <rPr>
        <sz val="9"/>
        <rFont val="Lucida Sans"/>
        <family val="2"/>
      </rPr>
      <t>√</t>
    </r>
    <r>
      <rPr>
        <sz val="9"/>
        <rFont val="Tahoma"/>
        <family val="2"/>
      </rPr>
      <t>2)*(R1+R2)/R2 as Vin_max=Vref/2=R2/(R1+R2)*Vrms_max*√2*Av</t>
    </r>
  </si>
  <si>
    <t>Design wizard method 1</t>
  </si>
  <si>
    <t>Cp is defined, R1 is fixed and we want Ks</t>
  </si>
  <si>
    <t>Cp choice</t>
  </si>
  <si>
    <t>R1 is fixed</t>
  </si>
  <si>
    <t>ks is calculated : ks=</t>
  </si>
  <si>
    <t>Design wizard method 2</t>
  </si>
  <si>
    <t>Cp is defined, Ks is fixed and we want R1</t>
  </si>
  <si>
    <t>Ks is fixed</t>
  </si>
  <si>
    <t>R1 is calculated : R1=</t>
  </si>
  <si>
    <t>Input design data (to be filled)</t>
  </si>
  <si>
    <t>R1 (already defined above)</t>
  </si>
  <si>
    <t>Output values in Max conditions</t>
  </si>
  <si>
    <r>
      <t>V</t>
    </r>
    <r>
      <rPr>
        <b/>
        <vertAlign val="subscript"/>
        <sz val="10"/>
        <color theme="1"/>
        <rFont val="Tahoma"/>
        <family val="2"/>
      </rPr>
      <t>max_rms</t>
    </r>
    <r>
      <rPr>
        <b/>
        <sz val="10"/>
        <color theme="1"/>
        <rFont val="Tahoma"/>
        <family val="2"/>
      </rPr>
      <t xml:space="preserve"> </t>
    </r>
    <r>
      <rPr>
        <b/>
        <sz val="9"/>
        <color theme="1"/>
        <rFont val="Tahoma"/>
        <family val="2"/>
      </rPr>
      <t>(example)</t>
    </r>
  </si>
  <si>
    <r>
      <t>V</t>
    </r>
    <r>
      <rPr>
        <b/>
        <vertAlign val="subscript"/>
        <sz val="10"/>
        <color theme="1"/>
        <rFont val="Tahoma"/>
        <family val="2"/>
      </rPr>
      <t xml:space="preserve">max_peak </t>
    </r>
    <r>
      <rPr>
        <b/>
        <sz val="9"/>
        <color theme="1"/>
        <rFont val="Tahoma"/>
        <family val="2"/>
      </rPr>
      <t>(calculated from RMS)</t>
    </r>
  </si>
  <si>
    <r>
      <t>V</t>
    </r>
    <r>
      <rPr>
        <b/>
        <vertAlign val="subscript"/>
        <sz val="10"/>
        <color theme="1"/>
        <rFont val="Tahoma"/>
        <family val="2"/>
      </rPr>
      <t>inV_MAX</t>
    </r>
  </si>
  <si>
    <r>
      <t>V</t>
    </r>
    <r>
      <rPr>
        <b/>
        <vertAlign val="subscript"/>
        <sz val="10"/>
        <color theme="1"/>
        <rFont val="Lucida Sans"/>
        <family val="2"/>
      </rPr>
      <t>∑∆ stream</t>
    </r>
    <r>
      <rPr>
        <b/>
        <sz val="10"/>
        <color theme="1"/>
        <rFont val="Lucida Sans"/>
        <family val="2"/>
      </rPr>
      <t xml:space="preserve"> at </t>
    </r>
    <r>
      <rPr>
        <b/>
        <u/>
        <sz val="10"/>
        <color theme="1"/>
        <rFont val="Lucida Sans"/>
        <family val="2"/>
      </rPr>
      <t>Vmax_peak</t>
    </r>
  </si>
  <si>
    <r>
      <t>I</t>
    </r>
    <r>
      <rPr>
        <b/>
        <vertAlign val="subscript"/>
        <sz val="10"/>
        <color theme="1"/>
        <rFont val="Tahoma"/>
        <family val="2"/>
      </rPr>
      <t>max</t>
    </r>
  </si>
  <si>
    <r>
      <t>I</t>
    </r>
    <r>
      <rPr>
        <b/>
        <vertAlign val="subscript"/>
        <sz val="10"/>
        <color theme="1"/>
        <rFont val="Tahoma"/>
        <family val="2"/>
      </rPr>
      <t>max_peak</t>
    </r>
  </si>
  <si>
    <r>
      <t>V</t>
    </r>
    <r>
      <rPr>
        <b/>
        <vertAlign val="subscript"/>
        <sz val="10"/>
        <color theme="1"/>
        <rFont val="Tahoma"/>
        <family val="2"/>
      </rPr>
      <t>inC_MAX</t>
    </r>
  </si>
  <si>
    <r>
      <t>I</t>
    </r>
    <r>
      <rPr>
        <b/>
        <vertAlign val="subscript"/>
        <sz val="10"/>
        <color theme="1"/>
        <rFont val="Lucida Sans"/>
        <family val="2"/>
      </rPr>
      <t xml:space="preserve">∑∆ stream </t>
    </r>
    <r>
      <rPr>
        <b/>
        <sz val="10"/>
        <color theme="1"/>
        <rFont val="Lucida Sans"/>
        <family val="2"/>
      </rPr>
      <t xml:space="preserve">at </t>
    </r>
    <r>
      <rPr>
        <b/>
        <u/>
        <sz val="10"/>
        <color theme="1"/>
        <rFont val="Lucida Sans"/>
        <family val="2"/>
      </rPr>
      <t>Imax_peak</t>
    </r>
  </si>
  <si>
    <r>
      <t>P</t>
    </r>
    <r>
      <rPr>
        <b/>
        <vertAlign val="subscript"/>
        <sz val="10"/>
        <color theme="1"/>
        <rFont val="Tahoma"/>
        <family val="2"/>
      </rPr>
      <t>reg_max</t>
    </r>
    <r>
      <rPr>
        <b/>
        <sz val="10"/>
        <color theme="1"/>
        <rFont val="Tahoma"/>
        <family val="2"/>
      </rPr>
      <t xml:space="preserve"> </t>
    </r>
    <r>
      <rPr>
        <b/>
        <sz val="8"/>
        <color theme="1"/>
        <rFont val="Tahoma"/>
        <family val="2"/>
      </rPr>
      <t>(Active power register for Pmax)</t>
    </r>
  </si>
  <si>
    <r>
      <t>f</t>
    </r>
    <r>
      <rPr>
        <vertAlign val="subscript"/>
        <sz val="10"/>
        <color theme="1"/>
        <rFont val="Tahoma"/>
        <family val="2"/>
      </rPr>
      <t>LED</t>
    </r>
    <r>
      <rPr>
        <sz val="10"/>
        <color theme="1"/>
        <rFont val="Tahoma"/>
        <family val="2"/>
      </rPr>
      <t xml:space="preserve"> at Pmax</t>
    </r>
  </si>
  <si>
    <r>
      <t>Goal is to keep it (V</t>
    </r>
    <r>
      <rPr>
        <b/>
        <vertAlign val="subscript"/>
        <sz val="10"/>
        <color rgb="FFFF0000"/>
        <rFont val="Tahoma"/>
        <family val="2"/>
      </rPr>
      <t>inV_MAX</t>
    </r>
    <r>
      <rPr>
        <b/>
        <sz val="10"/>
        <color rgb="FFFF0000"/>
        <rFont val="Tahoma"/>
        <family val="2"/>
      </rPr>
      <t>*Av/Vref)&lt; 50% to</t>
    </r>
    <r>
      <rPr>
        <b/>
        <sz val="8"/>
        <color rgb="FFFF0000"/>
        <rFont val="Tahoma"/>
        <family val="2"/>
      </rPr>
      <t xml:space="preserve"> minimize distorsion</t>
    </r>
  </si>
  <si>
    <t>&lt;---</t>
  </si>
  <si>
    <t>Register setting=2^(reg_val-4) from 0 to 0xF</t>
  </si>
  <si>
    <t>A  --&gt;</t>
  </si>
  <si>
    <t>V  --&gt;</t>
  </si>
  <si>
    <r>
      <t>ΣΔ bit stream = I</t>
    </r>
    <r>
      <rPr>
        <vertAlign val="subscript"/>
        <sz val="10"/>
        <rFont val="Tahoma"/>
        <family val="2"/>
      </rPr>
      <t xml:space="preserve">in </t>
    </r>
    <r>
      <rPr>
        <sz val="10"/>
        <rFont val="Tahoma"/>
        <family val="2"/>
      </rPr>
      <t xml:space="preserve">*  Ks  / Vref  * Ai </t>
    </r>
  </si>
  <si>
    <t>Overflow time = Pnom /  Energy overflow * 3600</t>
  </si>
  <si>
    <r>
      <t>LSB</t>
    </r>
    <r>
      <rPr>
        <b/>
        <vertAlign val="subscript"/>
        <sz val="10"/>
        <rFont val="Tahoma"/>
        <family val="2"/>
      </rPr>
      <t>P</t>
    </r>
    <r>
      <rPr>
        <b/>
        <sz val="10"/>
        <rFont val="Tahoma"/>
        <family val="2"/>
      </rPr>
      <t xml:space="preserve">    </t>
    </r>
    <r>
      <rPr>
        <sz val="10"/>
        <rFont val="Tahoma"/>
        <family val="2"/>
      </rPr>
      <t>[=Power register LSB]</t>
    </r>
  </si>
  <si>
    <r>
      <t>LSB</t>
    </r>
    <r>
      <rPr>
        <b/>
        <vertAlign val="subscript"/>
        <sz val="10"/>
        <rFont val="Tahoma"/>
        <family val="2"/>
      </rPr>
      <t xml:space="preserve">E    </t>
    </r>
    <r>
      <rPr>
        <sz val="10"/>
        <rFont val="Tahoma"/>
        <family val="2"/>
      </rPr>
      <t xml:space="preserve"> [=Energy register LSB]</t>
    </r>
  </si>
  <si>
    <t>Results in max conditions</t>
  </si>
  <si>
    <t>W --&gt;</t>
  </si>
  <si>
    <r>
      <t xml:space="preserve">Calculations for:     </t>
    </r>
    <r>
      <rPr>
        <b/>
        <sz val="16"/>
        <color rgb="FFFF0000"/>
        <rFont val="Tahoma"/>
        <family val="2"/>
      </rPr>
      <t>CT</t>
    </r>
  </si>
  <si>
    <r>
      <t xml:space="preserve">Calculations for:     </t>
    </r>
    <r>
      <rPr>
        <b/>
        <sz val="16"/>
        <color rgb="FFFF0000"/>
        <rFont val="Tahoma"/>
        <family val="2"/>
      </rPr>
      <t>SHUNT</t>
    </r>
  </si>
  <si>
    <t>Internal Reference (real value=1180mV)</t>
  </si>
  <si>
    <t>Sensitivity Cp (for verification)</t>
  </si>
  <si>
    <t>Ks (already defined above)</t>
  </si>
  <si>
    <t>LPW (LED division factor)</t>
  </si>
  <si>
    <t>Default value  = 4   with LPW = 2^(reg_val-4)</t>
  </si>
  <si>
    <t>Input nominal and maximum conditions (to be filled)</t>
  </si>
  <si>
    <t>Ks  (calculated above)</t>
  </si>
  <si>
    <t>R1 (already calculated above)</t>
  </si>
  <si>
    <r>
      <t>k</t>
    </r>
    <r>
      <rPr>
        <b/>
        <vertAlign val="subscript"/>
        <sz val="10"/>
        <rFont val="Tahoma"/>
        <family val="2"/>
      </rPr>
      <t>int</t>
    </r>
  </si>
  <si>
    <t>= Vref   /  (calI* Ai * 2^15 * ks * kint)</t>
  </si>
  <si>
    <t>= Vref*(1+R1/R2) / (calV * Av * 2^15)</t>
  </si>
  <si>
    <t>For calculation, from reg to real value</t>
  </si>
  <si>
    <r>
      <t>cal</t>
    </r>
    <r>
      <rPr>
        <b/>
        <vertAlign val="subscript"/>
        <sz val="10"/>
        <rFont val="Tahoma"/>
        <family val="2"/>
      </rPr>
      <t>V</t>
    </r>
    <r>
      <rPr>
        <b/>
        <sz val="10"/>
        <rFont val="Tahoma"/>
        <family val="2"/>
      </rPr>
      <t xml:space="preserve"> </t>
    </r>
  </si>
  <si>
    <r>
      <t>cal</t>
    </r>
    <r>
      <rPr>
        <b/>
        <vertAlign val="subscript"/>
        <sz val="10"/>
        <rFont val="Tahoma"/>
        <family val="2"/>
      </rPr>
      <t xml:space="preserve">I </t>
    </r>
    <r>
      <rPr>
        <b/>
        <sz val="10"/>
        <rFont val="Tahoma"/>
        <family val="2"/>
      </rPr>
      <t/>
    </r>
  </si>
  <si>
    <t xml:space="preserve">Cp = 1/2*R2/(R1+R2) * Ks * Dclk * Av / Vref * Ai / Vref * calV  * calI *1000 * 3600 / LED_div_factor </t>
  </si>
  <si>
    <t>LSBP = (1+R1/R2) * Vref^2 / (Ks * kint * Av * Ai * calV  * calI * 2^28)
(Note : Vref in mV if mW is wanted)</t>
  </si>
  <si>
    <t>LSBE = (1+R1/R2) * Vref^2 / (Ks * kint * Av * Ai * calV  * calI * 2^17 * Fs)          (Note : Vref in mV if mW is wanted)</t>
  </si>
  <si>
    <t>fLED = (Fsampling / LED_div_factor*2 ) * (VADC_Vin / Vref * Av) * calV  *  (VADC_Iin / Vref * Av) * calI</t>
  </si>
  <si>
    <t>RMS so divided by 1/2 : P = 1/2 * V∑∆ * calV  * I∑∆ * calI</t>
  </si>
  <si>
    <t>CT sensitivity</t>
  </si>
  <si>
    <t>Input nominal conditions (to be filled)</t>
  </si>
  <si>
    <t>B9BFD</t>
  </si>
  <si>
    <t>Nominal Power (RMS)</t>
  </si>
  <si>
    <r>
      <t>Measured Power = Reg_value * LSB</t>
    </r>
    <r>
      <rPr>
        <vertAlign val="subscript"/>
        <sz val="10"/>
        <rFont val="Tahoma"/>
        <family val="2"/>
      </rPr>
      <t>P</t>
    </r>
  </si>
  <si>
    <t>Energy</t>
  </si>
  <si>
    <t>Wh --&gt;</t>
  </si>
  <si>
    <t>Registers data conversion (from register value to real measured value)</t>
  </si>
  <si>
    <t>618EA868</t>
  </si>
  <si>
    <t>Results from design choices and chipset parameters</t>
  </si>
  <si>
    <r>
      <t>Measured voltage = Xv * LSB</t>
    </r>
    <r>
      <rPr>
        <i/>
        <vertAlign val="subscript"/>
        <sz val="10"/>
        <rFont val="Tahoma"/>
        <family val="2"/>
      </rPr>
      <t>VRMS</t>
    </r>
    <r>
      <rPr>
        <i/>
        <sz val="10"/>
        <rFont val="Tahoma"/>
        <family val="2"/>
      </rPr>
      <t xml:space="preserve"> = Xv * Vref * (1+R1/R2) / (calV  * Av * 2^15)</t>
    </r>
  </si>
  <si>
    <r>
      <t>Measured cuurent = Xi * LSB</t>
    </r>
    <r>
      <rPr>
        <i/>
        <vertAlign val="subscript"/>
        <sz val="10"/>
        <rFont val="Tahoma"/>
        <family val="2"/>
      </rPr>
      <t xml:space="preserve">IRMS </t>
    </r>
    <r>
      <rPr>
        <i/>
        <sz val="10"/>
        <rFont val="Tahoma"/>
        <family val="2"/>
      </rPr>
      <t>= Xi * Vref / (calI  * Ai * 2^17 * Ks * Kint)</t>
    </r>
  </si>
  <si>
    <r>
      <t>Measured Energy = Reg_value * LSB</t>
    </r>
    <r>
      <rPr>
        <i/>
        <vertAlign val="subscript"/>
        <sz val="10"/>
        <rFont val="Tahoma"/>
        <family val="2"/>
      </rPr>
      <t>E</t>
    </r>
  </si>
  <si>
    <r>
      <t>Measured Power = Reg_value * LSB</t>
    </r>
    <r>
      <rPr>
        <i/>
        <vertAlign val="subscript"/>
        <sz val="10"/>
        <rFont val="Tahoma"/>
        <family val="2"/>
      </rPr>
      <t>P</t>
    </r>
  </si>
  <si>
    <t>Calibrator mid value</t>
  </si>
  <si>
    <t>R1=R2(1800*ks*Av*Ai*calV*calI*Fsampling/(Vref^2*Cp)*1000*1000) - 1 )/LPW</t>
  </si>
  <si>
    <t>fLED = (Fsampling / LED_div_factor*2 ) * (VADC_Vin / Vref * Av) * calV *  (VADC_Iin / Vref * Av) * calI</t>
  </si>
  <si>
    <t xml:space="preserve">Or Cp = 1/2*R2/(R1+R2) * Ks * Dclk * Av / Vref * Ai / Vref * calV * calI *1000 * 3600 / LED_div_factor </t>
  </si>
  <si>
    <t>LSBP = (1+R1/R2) * Vref^2 / (Ks * kint * Av * Ai * calV * calI * 2^28)
(Note : Vref in mV if mW is wanted)</t>
  </si>
  <si>
    <t>LSBE = (1+R1/R2) * Vref^2 / (Ks * kint * Av * Ai * calV * calI * 2^17 * Fs)          (Note : Vref in mV if mW is wanted)</t>
  </si>
  <si>
    <t>RMS so divided by 1/2 : P = 1/2 * V∑∆ * calV * I∑∆ * calI</t>
  </si>
  <si>
    <t>ks=Vref^2 * Cp * (1+R1/R2) * LED_div /(1800*Av*Ai*calV*calI*Fsampling) / (1000*1000) * LPW</t>
  </si>
  <si>
    <r>
      <rPr>
        <b/>
        <u/>
        <sz val="12"/>
        <rFont val="Tahoma"/>
        <family val="2"/>
      </rPr>
      <t>Step 1</t>
    </r>
    <r>
      <rPr>
        <b/>
        <sz val="12"/>
        <rFont val="Tahoma"/>
        <family val="2"/>
      </rPr>
      <t xml:space="preserve">: Choose the Design Method </t>
    </r>
  </si>
  <si>
    <r>
      <rPr>
        <b/>
        <u/>
        <sz val="12"/>
        <rFont val="Tahoma"/>
        <family val="2"/>
      </rPr>
      <t>Step 2</t>
    </r>
    <r>
      <rPr>
        <b/>
        <sz val="12"/>
        <rFont val="Tahoma"/>
        <family val="2"/>
      </rPr>
      <t xml:space="preserve">: Application parameters
</t>
    </r>
    <r>
      <rPr>
        <sz val="12"/>
        <rFont val="Tahoma"/>
        <family val="2"/>
      </rPr>
      <t>Fill the blue cells
- Fill Cp, the desired pulse-to-Power rate (Impulsions/kWh)
- Insert the fixed component (Ks or R1 according to the method chosen)
- Fill the application parameters: R1 (or Ks), R2, Ai and LPW
Fill the grey cells
- The nominal voltage and current
- The maximum voltage and current</t>
    </r>
  </si>
  <si>
    <r>
      <rPr>
        <b/>
        <u/>
        <sz val="12"/>
        <rFont val="Tahoma"/>
        <family val="2"/>
      </rPr>
      <t>Step 3</t>
    </r>
    <r>
      <rPr>
        <b/>
        <sz val="12"/>
        <rFont val="Tahoma"/>
        <family val="2"/>
      </rPr>
      <t xml:space="preserve">: Output
</t>
    </r>
    <r>
      <rPr>
        <sz val="12"/>
        <rFont val="Tahoma"/>
        <family val="2"/>
      </rPr>
      <t>According to the previous selection of components and application parameters, the meter will produce the output data reported in the section below (yellow cells for nominal conditions and orange for max conditions).</t>
    </r>
  </si>
  <si>
    <t xml:space="preserve">Results from design choices and application parameters </t>
  </si>
  <si>
    <r>
      <t>Measured voltage = Xv * LSB</t>
    </r>
    <r>
      <rPr>
        <i/>
        <vertAlign val="subscript"/>
        <sz val="10"/>
        <rFont val="Tahoma"/>
        <family val="2"/>
      </rPr>
      <t>VRMS</t>
    </r>
    <r>
      <rPr>
        <i/>
        <sz val="10"/>
        <rFont val="Tahoma"/>
        <family val="2"/>
      </rPr>
      <t xml:space="preserve"> </t>
    </r>
  </si>
  <si>
    <t>Nominal Voltage (RMS): Xv = VN * Av * calV * 2^15 / [ Vref * (1+R1/R2) ]</t>
  </si>
  <si>
    <t>Nominal Current - (RMS): Xi = IN * Ai * calI * Ks * 2^17 / Vref</t>
  </si>
  <si>
    <r>
      <t>Measured cuurent = Xi * LSB</t>
    </r>
    <r>
      <rPr>
        <i/>
        <vertAlign val="subscript"/>
        <sz val="10"/>
        <rFont val="Tahoma"/>
        <family val="2"/>
      </rPr>
      <t>IRMS</t>
    </r>
  </si>
  <si>
    <t>Input design data (to be filled with calculated value, not real one)</t>
  </si>
  <si>
    <r>
      <t>V</t>
    </r>
    <r>
      <rPr>
        <b/>
        <vertAlign val="subscript"/>
        <sz val="10"/>
        <rFont val="Tahoma"/>
        <family val="2"/>
      </rPr>
      <t>AV (read average value)</t>
    </r>
  </si>
  <si>
    <t>Results from calibration tests</t>
  </si>
  <si>
    <r>
      <t>I</t>
    </r>
    <r>
      <rPr>
        <b/>
        <vertAlign val="subscript"/>
        <sz val="10"/>
        <rFont val="Tahoma"/>
        <family val="2"/>
      </rPr>
      <t>AV (read average value)</t>
    </r>
  </si>
  <si>
    <t>Calibration results</t>
  </si>
  <si>
    <r>
      <t>Kv</t>
    </r>
    <r>
      <rPr>
        <sz val="8"/>
        <rFont val="Tahoma"/>
        <family val="2"/>
      </rPr>
      <t xml:space="preserve"> (for information)</t>
    </r>
  </si>
  <si>
    <t>Register values read during calibration and averaged</t>
  </si>
  <si>
    <t>Calibration parameters (register values are in Hex)</t>
  </si>
  <si>
    <t>V --&gt;Xv=</t>
  </si>
  <si>
    <t>A--&gt;Xi=</t>
  </si>
  <si>
    <t>Nominal Voltage (RMS) and expected register value</t>
  </si>
  <si>
    <t>Correction factor</t>
  </si>
  <si>
    <t>Calculated calibrator value (must be between 0 and 4096)</t>
  </si>
  <si>
    <t>example</t>
  </si>
  <si>
    <r>
      <t xml:space="preserve">Calibration with a:     </t>
    </r>
    <r>
      <rPr>
        <b/>
        <sz val="16"/>
        <color rgb="FFFF0000"/>
        <rFont val="Tahoma"/>
        <family val="2"/>
      </rPr>
      <t>CT</t>
    </r>
  </si>
  <si>
    <r>
      <t xml:space="preserve">Calibration with a:     </t>
    </r>
    <r>
      <rPr>
        <b/>
        <sz val="16"/>
        <color rgb="FFFF0000"/>
        <rFont val="Tahoma"/>
        <family val="2"/>
      </rPr>
      <t>SHUNT</t>
    </r>
  </si>
  <si>
    <t>Target value</t>
  </si>
  <si>
    <t xml:space="preserve">The second tab "Calculation for shunt and CT" can be used to check the design choices and to calculate the register values. </t>
  </si>
  <si>
    <t>The third tab "Amplitude calibration" is an example for calibration procedure.</t>
  </si>
  <si>
    <t>This workbook implements formulas as described in STPM32, STPM33, STPM34 Datasheet.
The first tab "Design Wizard calculation" can be used as a Design help to correctly choose the external components and the application parameters.</t>
  </si>
  <si>
    <t>1A35</t>
  </si>
  <si>
    <t>= Vref   /  (calI* Ai * 2^17 * ks * kint)</t>
  </si>
  <si>
    <r>
      <t>= 1/2 * Vref / (Av*</t>
    </r>
    <r>
      <rPr>
        <sz val="9"/>
        <rFont val="Lucida Sans"/>
        <family val="2"/>
      </rPr>
      <t>√</t>
    </r>
    <r>
      <rPr>
        <sz val="9"/>
        <rFont val="Tahoma"/>
        <family val="2"/>
      </rPr>
      <t>2)*(R1+R2)/R2 as Vin_max=Vref/2=R2/(R1+R2)*Vrms_max*√2*Av</t>
    </r>
  </si>
  <si>
    <t>100</t>
  </si>
  <si>
    <t>V     &lt;--</t>
  </si>
  <si>
    <t>A    &lt;--</t>
  </si>
  <si>
    <t>W     &lt;--</t>
  </si>
  <si>
    <t>Wh    &lt;--</t>
  </si>
  <si>
    <t xml:space="preserve">Instantaneous LSB voltage </t>
  </si>
  <si>
    <t>RMS LSB voltage</t>
  </si>
  <si>
    <t>= Vref*(1+R1/R2) / (calV * Av * 2^23)</t>
  </si>
  <si>
    <t>1676</t>
  </si>
  <si>
    <t>889</t>
  </si>
  <si>
    <t>D17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</si>
</sst>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000"/>
    <numFmt numFmtId="166" formatCode="0.000"/>
    <numFmt numFmtId="167" formatCode="0.000%"/>
    <numFmt numFmtId="168" formatCode="0.0%"/>
    <numFmt numFmtId="169" formatCode="0.000000"/>
    <numFmt numFmtId="170" formatCode="0.00000"/>
    <numFmt numFmtId="171" formatCode="0.0000000"/>
    <numFmt numFmtId="173" formatCode="0.00000000"/>
  </numFmts>
  <fonts count="66" x14ac:knownFonts="1">
    <font>
      <sz val="10"/>
      <name val="Arial"/>
    </font>
    <font>
      <sz val="8"/>
      <name val="Arial"/>
      <family val="2"/>
    </font>
    <font>
      <sz val="10"/>
      <name val="Tahoma"/>
      <family val="2"/>
    </font>
    <font>
      <b/>
      <sz val="10"/>
      <name val="Tahoma"/>
      <family val="2"/>
    </font>
    <font>
      <b/>
      <sz val="11"/>
      <name val="Calibri"/>
      <family val="2"/>
      <scheme val="minor"/>
    </font>
    <font>
      <sz val="11"/>
      <name val="Calibri"/>
      <family val="2"/>
      <scheme val="minor"/>
    </font>
    <font>
      <b/>
      <sz val="10"/>
      <color theme="0"/>
      <name val="Tahoma"/>
      <family val="2"/>
    </font>
    <font>
      <b/>
      <i/>
      <sz val="10"/>
      <color theme="0"/>
      <name val="Tahoma"/>
      <family val="2"/>
    </font>
    <font>
      <sz val="10"/>
      <color theme="5"/>
      <name val="Tahoma"/>
      <family val="2"/>
    </font>
    <font>
      <b/>
      <sz val="10"/>
      <color rgb="FFFF0000"/>
      <name val="Tahoma"/>
      <family val="2"/>
    </font>
    <font>
      <b/>
      <vertAlign val="subscript"/>
      <sz val="10"/>
      <name val="Tahoma"/>
      <family val="2"/>
    </font>
    <font>
      <sz val="10"/>
      <name val="Lucida Sans"/>
      <family val="2"/>
    </font>
    <font>
      <sz val="8"/>
      <name val="Tahoma"/>
      <family val="2"/>
    </font>
    <font>
      <sz val="10"/>
      <name val="Century Gothic"/>
      <family val="2"/>
    </font>
    <font>
      <sz val="10"/>
      <color rgb="FFFF0000"/>
      <name val="Tahoma"/>
      <family val="2"/>
    </font>
    <font>
      <vertAlign val="subscript"/>
      <sz val="10"/>
      <name val="Tahoma"/>
      <family val="2"/>
    </font>
    <font>
      <b/>
      <vertAlign val="subscript"/>
      <sz val="10"/>
      <color rgb="FFFF0000"/>
      <name val="Tahoma"/>
      <family val="2"/>
    </font>
    <font>
      <i/>
      <sz val="8"/>
      <name val="Tahoma"/>
      <family val="2"/>
    </font>
    <font>
      <b/>
      <sz val="9"/>
      <name val="Tahoma"/>
      <family val="2"/>
    </font>
    <font>
      <b/>
      <sz val="10"/>
      <color theme="3"/>
      <name val="Tahoma"/>
      <family val="2"/>
    </font>
    <font>
      <b/>
      <vertAlign val="subscript"/>
      <sz val="10"/>
      <color theme="3"/>
      <name val="Tahoma"/>
      <family val="2"/>
    </font>
    <font>
      <b/>
      <vertAlign val="subscript"/>
      <sz val="10"/>
      <color theme="3"/>
      <name val="Lucida Sans"/>
      <family val="2"/>
    </font>
    <font>
      <b/>
      <sz val="10"/>
      <color theme="3"/>
      <name val="Lucida Sans"/>
      <family val="2"/>
    </font>
    <font>
      <b/>
      <sz val="10"/>
      <color theme="5"/>
      <name val="Tahoma"/>
      <family val="2"/>
    </font>
    <font>
      <b/>
      <vertAlign val="subscript"/>
      <sz val="10"/>
      <color theme="5"/>
      <name val="Tahoma"/>
      <family val="2"/>
    </font>
    <font>
      <b/>
      <sz val="9"/>
      <color theme="5"/>
      <name val="Tahoma"/>
      <family val="2"/>
    </font>
    <font>
      <b/>
      <vertAlign val="subscript"/>
      <sz val="10"/>
      <color theme="5"/>
      <name val="Lucida Sans"/>
      <family val="2"/>
    </font>
    <font>
      <b/>
      <sz val="10"/>
      <color theme="5"/>
      <name val="Lucida Sans"/>
      <family val="2"/>
    </font>
    <font>
      <b/>
      <u/>
      <sz val="10"/>
      <color theme="5"/>
      <name val="Lucida Sans"/>
      <family val="2"/>
    </font>
    <font>
      <b/>
      <sz val="8"/>
      <color theme="5"/>
      <name val="Tahoma"/>
      <family val="2"/>
    </font>
    <font>
      <i/>
      <sz val="9"/>
      <name val="Tahoma"/>
      <family val="2"/>
    </font>
    <font>
      <i/>
      <sz val="10"/>
      <name val="Tahoma"/>
      <family val="2"/>
    </font>
    <font>
      <sz val="9"/>
      <name val="Tahoma"/>
      <family val="2"/>
    </font>
    <font>
      <sz val="8"/>
      <name val="Lucida Sans"/>
      <family val="2"/>
    </font>
    <font>
      <b/>
      <sz val="8"/>
      <color rgb="FFFF0000"/>
      <name val="Tahoma"/>
      <family val="2"/>
    </font>
    <font>
      <sz val="10"/>
      <name val="Arial"/>
      <family val="2"/>
    </font>
    <font>
      <sz val="9"/>
      <name val="Lucida Sans"/>
      <family val="2"/>
    </font>
    <font>
      <b/>
      <sz val="14"/>
      <color theme="0"/>
      <name val="Tahoma"/>
      <family val="2"/>
    </font>
    <font>
      <b/>
      <sz val="10"/>
      <color theme="1"/>
      <name val="Tahoma"/>
      <family val="2"/>
    </font>
    <font>
      <b/>
      <vertAlign val="subscript"/>
      <sz val="10"/>
      <color theme="1"/>
      <name val="Tahoma"/>
      <family val="2"/>
    </font>
    <font>
      <b/>
      <sz val="9"/>
      <color theme="1"/>
      <name val="Tahoma"/>
      <family val="2"/>
    </font>
    <font>
      <b/>
      <vertAlign val="subscript"/>
      <sz val="10"/>
      <color theme="1"/>
      <name val="Lucida Sans"/>
      <family val="2"/>
    </font>
    <font>
      <b/>
      <sz val="10"/>
      <color theme="1"/>
      <name val="Lucida Sans"/>
      <family val="2"/>
    </font>
    <font>
      <b/>
      <u/>
      <sz val="10"/>
      <color theme="1"/>
      <name val="Lucida Sans"/>
      <family val="2"/>
    </font>
    <font>
      <b/>
      <sz val="8"/>
      <color theme="1"/>
      <name val="Tahoma"/>
      <family val="2"/>
    </font>
    <font>
      <sz val="10"/>
      <color theme="1"/>
      <name val="Tahoma"/>
      <family val="2"/>
    </font>
    <font>
      <vertAlign val="subscript"/>
      <sz val="10"/>
      <color theme="1"/>
      <name val="Tahoma"/>
      <family val="2"/>
    </font>
    <font>
      <b/>
      <i/>
      <sz val="12"/>
      <color rgb="FFFF0000"/>
      <name val="Tahoma"/>
      <family val="2"/>
    </font>
    <font>
      <sz val="9"/>
      <color indexed="81"/>
      <name val="Tahoma"/>
      <family val="2"/>
    </font>
    <font>
      <b/>
      <sz val="9"/>
      <color indexed="81"/>
      <name val="Tahoma"/>
      <family val="2"/>
    </font>
    <font>
      <b/>
      <sz val="16"/>
      <name val="Tahoma"/>
      <family val="2"/>
    </font>
    <font>
      <b/>
      <sz val="16"/>
      <color rgb="FFFF0000"/>
      <name val="Tahoma"/>
      <family val="2"/>
    </font>
    <font>
      <sz val="8"/>
      <color rgb="FF000000"/>
      <name val="Tahoma"/>
      <family val="2"/>
    </font>
    <font>
      <b/>
      <sz val="12"/>
      <name val="Tahoma"/>
      <family val="2"/>
    </font>
    <font>
      <sz val="12"/>
      <name val="Tahoma"/>
      <family val="2"/>
    </font>
    <font>
      <i/>
      <sz val="8"/>
      <color theme="3"/>
      <name val="Tahoma"/>
      <family val="2"/>
    </font>
    <font>
      <b/>
      <sz val="9"/>
      <name val="Arial"/>
      <family val="2"/>
    </font>
    <font>
      <b/>
      <i/>
      <sz val="10"/>
      <name val="Tahoma"/>
      <family val="2"/>
    </font>
    <font>
      <i/>
      <vertAlign val="subscript"/>
      <sz val="10"/>
      <name val="Tahoma"/>
      <family val="2"/>
    </font>
    <font>
      <sz val="8"/>
      <color theme="3"/>
      <name val="Tahoma"/>
      <family val="2"/>
    </font>
    <font>
      <b/>
      <u/>
      <sz val="12"/>
      <name val="Tahoma"/>
      <family val="2"/>
    </font>
    <font>
      <sz val="8"/>
      <color theme="0" tint="-0.499984740745262"/>
      <name val="Tahoma"/>
      <family val="2"/>
    </font>
    <font>
      <i/>
      <sz val="10"/>
      <color theme="0" tint="-0.499984740745262"/>
      <name val="Tahoma"/>
      <family val="2"/>
    </font>
    <font>
      <b/>
      <sz val="10"/>
      <color theme="0" tint="-0.499984740745262"/>
      <name val="Tahoma"/>
      <family val="2"/>
    </font>
    <font>
      <b/>
      <sz val="9"/>
      <color theme="0" tint="-0.499984740745262"/>
      <name val="Tahoma"/>
      <family val="2"/>
    </font>
    <font>
      <i/>
      <sz val="8"/>
      <color theme="0" tint="-0.499984740745262"/>
      <name val="Tahoma"/>
      <family val="2"/>
    </font>
  </fonts>
  <fills count="13">
    <fill>
      <patternFill patternType="none"/>
    </fill>
    <fill>
      <patternFill patternType="gray125"/>
    </fill>
    <fill>
      <patternFill patternType="solid">
        <fgColor indexed="9"/>
        <bgColor indexed="64"/>
      </patternFill>
    </fill>
    <fill>
      <patternFill patternType="solid">
        <fgColor theme="5" tint="0.79998168889431442"/>
        <bgColor indexed="64"/>
      </patternFill>
    </fill>
    <fill>
      <patternFill patternType="solid">
        <fgColor theme="0"/>
        <bgColor indexed="64"/>
      </patternFill>
    </fill>
    <fill>
      <patternFill patternType="solid">
        <fgColor theme="5" tint="0.79995117038483843"/>
        <bgColor indexed="64"/>
      </patternFill>
    </fill>
    <fill>
      <patternFill patternType="solid">
        <fgColor rgb="FFFFFF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CC66"/>
        <bgColor indexed="64"/>
      </patternFill>
    </fill>
    <fill>
      <patternFill patternType="solid">
        <fgColor theme="0" tint="-0.249977111117893"/>
        <bgColor indexed="64"/>
      </patternFill>
    </fill>
    <fill>
      <patternFill patternType="solid">
        <fgColor rgb="FFFFC000"/>
        <bgColor indexed="64"/>
      </patternFill>
    </fill>
    <fill>
      <patternFill patternType="solid">
        <fgColor theme="6" tint="0.39997558519241921"/>
        <bgColor indexed="64"/>
      </patternFill>
    </fill>
  </fills>
  <borders count="44">
    <border>
      <left/>
      <right/>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style="medium">
        <color auto="1"/>
      </top>
      <bottom style="thin">
        <color auto="1"/>
      </bottom>
      <diagonal/>
    </border>
    <border>
      <left style="medium">
        <color auto="1"/>
      </left>
      <right style="medium">
        <color auto="1"/>
      </right>
      <top/>
      <bottom style="medium">
        <color auto="1"/>
      </bottom>
      <diagonal/>
    </border>
    <border>
      <left/>
      <right style="medium">
        <color auto="1"/>
      </right>
      <top style="thin">
        <color auto="1"/>
      </top>
      <bottom/>
      <diagonal/>
    </border>
    <border>
      <left/>
      <right/>
      <top style="thin">
        <color auto="1"/>
      </top>
      <bottom/>
      <diagonal/>
    </border>
    <border>
      <left style="medium">
        <color auto="1"/>
      </left>
      <right/>
      <top style="thin">
        <color auto="1"/>
      </top>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auto="1"/>
      </left>
      <right style="medium">
        <color auto="1"/>
      </right>
      <top style="thin">
        <color auto="1"/>
      </top>
      <bottom style="medium">
        <color auto="1"/>
      </bottom>
      <diagonal/>
    </border>
    <border>
      <left/>
      <right/>
      <top/>
      <bottom style="thin">
        <color auto="1"/>
      </bottom>
      <diagonal/>
    </border>
    <border>
      <left/>
      <right style="medium">
        <color auto="1"/>
      </right>
      <top/>
      <bottom style="thin">
        <color auto="1"/>
      </bottom>
      <diagonal/>
    </border>
    <border>
      <left style="medium">
        <color rgb="FFFF0000"/>
      </left>
      <right style="medium">
        <color rgb="FFFF0000"/>
      </right>
      <top style="medium">
        <color rgb="FFFF0000"/>
      </top>
      <bottom style="medium">
        <color rgb="FFFF0000"/>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medium">
        <color auto="1"/>
      </bottom>
      <diagonal/>
    </border>
    <border>
      <left/>
      <right/>
      <top style="medium">
        <color auto="1"/>
      </top>
      <bottom style="medium">
        <color auto="1"/>
      </bottom>
      <diagonal/>
    </border>
    <border>
      <left/>
      <right style="thin">
        <color auto="1"/>
      </right>
      <top style="thin">
        <color auto="1"/>
      </top>
      <bottom/>
      <diagonal/>
    </border>
    <border>
      <left style="medium">
        <color auto="1"/>
      </left>
      <right style="thin">
        <color auto="1"/>
      </right>
      <top style="thin">
        <color auto="1"/>
      </top>
      <bottom/>
      <diagonal/>
    </border>
  </borders>
  <cellStyleXfs count="2">
    <xf numFmtId="0" fontId="0" fillId="0" borderId="0"/>
    <xf numFmtId="9" fontId="35" fillId="0" borderId="0" applyFont="0" applyFill="0" applyBorder="0" applyAlignment="0" applyProtection="0"/>
  </cellStyleXfs>
  <cellXfs count="356">
    <xf numFmtId="0" fontId="0" fillId="0" borderId="0" xfId="0"/>
    <xf numFmtId="0" fontId="4" fillId="2" borderId="3" xfId="0" applyFont="1" applyFill="1" applyBorder="1"/>
    <xf numFmtId="0" fontId="5" fillId="2" borderId="3" xfId="0" applyFont="1" applyFill="1" applyBorder="1"/>
    <xf numFmtId="0" fontId="5" fillId="2" borderId="0" xfId="0" applyFont="1" applyFill="1"/>
    <xf numFmtId="0" fontId="2" fillId="4" borderId="5" xfId="0" applyFont="1" applyFill="1" applyBorder="1" applyAlignment="1" applyProtection="1">
      <alignment horizontal="right"/>
      <protection locked="0"/>
    </xf>
    <xf numFmtId="0" fontId="2" fillId="10" borderId="17" xfId="0" applyNumberFormat="1" applyFont="1" applyFill="1" applyBorder="1" applyAlignment="1" applyProtection="1">
      <alignment vertical="center"/>
      <protection locked="0"/>
    </xf>
    <xf numFmtId="0" fontId="2" fillId="8" borderId="14" xfId="0" applyNumberFormat="1" applyFont="1" applyFill="1" applyBorder="1" applyAlignment="1" applyProtection="1">
      <alignment vertical="center"/>
      <protection locked="0"/>
    </xf>
    <xf numFmtId="0" fontId="2" fillId="8" borderId="15" xfId="0" applyFont="1" applyFill="1" applyBorder="1" applyAlignment="1" applyProtection="1">
      <alignment vertical="center"/>
      <protection locked="0"/>
    </xf>
    <xf numFmtId="0" fontId="2" fillId="4" borderId="17" xfId="0" applyFont="1" applyFill="1" applyBorder="1" applyProtection="1">
      <protection locked="0"/>
    </xf>
    <xf numFmtId="0" fontId="2" fillId="4" borderId="15" xfId="0" applyFont="1" applyFill="1" applyBorder="1" applyProtection="1">
      <protection locked="0"/>
    </xf>
    <xf numFmtId="0" fontId="2" fillId="10" borderId="15" xfId="0" applyNumberFormat="1" applyFont="1" applyFill="1" applyBorder="1" applyAlignment="1" applyProtection="1">
      <alignment vertical="center"/>
      <protection locked="0"/>
    </xf>
    <xf numFmtId="0" fontId="2" fillId="8" borderId="15" xfId="0" applyNumberFormat="1" applyFont="1" applyFill="1" applyBorder="1" applyAlignment="1" applyProtection="1">
      <alignment vertical="center"/>
      <protection locked="0"/>
    </xf>
    <xf numFmtId="10" fontId="2" fillId="6" borderId="16" xfId="0" applyNumberFormat="1" applyFont="1" applyFill="1" applyBorder="1" applyAlignment="1" applyProtection="1">
      <alignment vertical="center"/>
    </xf>
    <xf numFmtId="1" fontId="2" fillId="6" borderId="15" xfId="0" applyNumberFormat="1" applyFont="1" applyFill="1" applyBorder="1" applyAlignment="1" applyProtection="1">
      <alignment vertical="center"/>
    </xf>
    <xf numFmtId="166" fontId="2" fillId="6" borderId="15" xfId="0" applyNumberFormat="1" applyFont="1" applyFill="1" applyBorder="1" applyAlignment="1" applyProtection="1">
      <alignment vertical="center"/>
    </xf>
    <xf numFmtId="0" fontId="2" fillId="8" borderId="30" xfId="0" applyFont="1" applyFill="1" applyBorder="1" applyAlignment="1" applyProtection="1">
      <alignment vertical="center"/>
      <protection locked="0"/>
    </xf>
    <xf numFmtId="0" fontId="2" fillId="3" borderId="0" xfId="0" applyFont="1" applyFill="1" applyBorder="1" applyProtection="1"/>
    <xf numFmtId="1" fontId="2" fillId="8" borderId="30" xfId="0" applyNumberFormat="1" applyFont="1" applyFill="1" applyBorder="1" applyAlignment="1" applyProtection="1">
      <alignment vertical="center"/>
      <protection locked="0"/>
    </xf>
    <xf numFmtId="0" fontId="2" fillId="4" borderId="15" xfId="0" applyFont="1" applyFill="1" applyBorder="1" applyProtection="1"/>
    <xf numFmtId="0" fontId="2" fillId="4" borderId="18" xfId="0" applyFont="1" applyFill="1" applyBorder="1" applyProtection="1"/>
    <xf numFmtId="0" fontId="2" fillId="4" borderId="17" xfId="0" applyFont="1" applyFill="1" applyBorder="1" applyAlignment="1" applyProtection="1">
      <alignment horizontal="right"/>
    </xf>
    <xf numFmtId="0" fontId="2" fillId="4" borderId="17" xfId="0" applyFont="1" applyFill="1" applyBorder="1" applyProtection="1"/>
    <xf numFmtId="0" fontId="31" fillId="8" borderId="26" xfId="0" applyFont="1" applyFill="1" applyBorder="1" applyAlignment="1" applyProtection="1">
      <alignment horizontal="center" vertical="center"/>
      <protection locked="0"/>
    </xf>
    <xf numFmtId="0" fontId="2" fillId="4" borderId="0" xfId="0" applyFont="1" applyFill="1" applyProtection="1"/>
    <xf numFmtId="0" fontId="3" fillId="3" borderId="0" xfId="0" applyFont="1" applyFill="1" applyBorder="1" applyAlignment="1" applyProtection="1">
      <alignment horizontal="left" vertical="center"/>
    </xf>
    <xf numFmtId="0" fontId="2" fillId="4" borderId="0" xfId="0" applyFont="1" applyFill="1" applyAlignment="1" applyProtection="1">
      <alignment vertical="center"/>
    </xf>
    <xf numFmtId="0" fontId="3" fillId="3" borderId="0" xfId="0" applyFont="1" applyFill="1" applyBorder="1" applyAlignment="1" applyProtection="1">
      <alignment horizontal="left"/>
    </xf>
    <xf numFmtId="0" fontId="3" fillId="8" borderId="22" xfId="0" applyFont="1" applyFill="1" applyBorder="1" applyAlignment="1" applyProtection="1">
      <alignment horizontal="left"/>
    </xf>
    <xf numFmtId="0" fontId="3" fillId="10" borderId="22" xfId="0" applyFont="1" applyFill="1" applyBorder="1" applyAlignment="1" applyProtection="1">
      <alignment horizontal="left"/>
    </xf>
    <xf numFmtId="0" fontId="3" fillId="9" borderId="22" xfId="0" applyFont="1" applyFill="1" applyBorder="1" applyAlignment="1" applyProtection="1">
      <alignment horizontal="left"/>
    </xf>
    <xf numFmtId="0" fontId="3" fillId="6" borderId="22" xfId="0" applyFont="1" applyFill="1" applyBorder="1" applyAlignment="1" applyProtection="1">
      <alignment horizontal="left"/>
    </xf>
    <xf numFmtId="0" fontId="6" fillId="7" borderId="9" xfId="0" applyFont="1" applyFill="1" applyBorder="1" applyAlignment="1" applyProtection="1">
      <alignment vertical="center"/>
    </xf>
    <xf numFmtId="0" fontId="7" fillId="7" borderId="10" xfId="0" applyFont="1" applyFill="1" applyBorder="1" applyAlignment="1" applyProtection="1">
      <alignment vertical="center"/>
    </xf>
    <xf numFmtId="0" fontId="3" fillId="3" borderId="6" xfId="0" applyFont="1" applyFill="1" applyBorder="1" applyAlignment="1" applyProtection="1">
      <alignment horizontal="left" vertical="center"/>
    </xf>
    <xf numFmtId="0" fontId="2" fillId="3" borderId="6" xfId="0" applyFont="1" applyFill="1" applyBorder="1" applyAlignment="1" applyProtection="1">
      <alignment vertical="center"/>
    </xf>
    <xf numFmtId="0" fontId="2" fillId="3" borderId="1" xfId="0" applyFont="1" applyFill="1" applyBorder="1" applyAlignment="1" applyProtection="1">
      <alignment vertical="center"/>
    </xf>
    <xf numFmtId="0" fontId="3" fillId="3" borderId="7" xfId="0" applyFont="1" applyFill="1" applyBorder="1" applyProtection="1"/>
    <xf numFmtId="0" fontId="8" fillId="5" borderId="0" xfId="0" applyFont="1" applyFill="1" applyBorder="1" applyAlignment="1" applyProtection="1">
      <alignment horizontal="left"/>
    </xf>
    <xf numFmtId="0" fontId="2" fillId="3" borderId="2" xfId="0" applyFont="1" applyFill="1" applyBorder="1" applyProtection="1"/>
    <xf numFmtId="0" fontId="3" fillId="3" borderId="8" xfId="0" applyFont="1" applyFill="1" applyBorder="1" applyProtection="1"/>
    <xf numFmtId="0" fontId="3" fillId="3" borderId="3" xfId="0" applyFont="1" applyFill="1" applyBorder="1" applyAlignment="1" applyProtection="1">
      <alignment horizontal="left"/>
    </xf>
    <xf numFmtId="0" fontId="2" fillId="3" borderId="4" xfId="0" applyFont="1" applyFill="1" applyBorder="1" applyProtection="1"/>
    <xf numFmtId="0" fontId="9" fillId="4" borderId="0" xfId="0" applyFont="1" applyFill="1" applyBorder="1" applyProtection="1"/>
    <xf numFmtId="0" fontId="3" fillId="4" borderId="0" xfId="0" applyFont="1" applyFill="1" applyBorder="1" applyAlignment="1" applyProtection="1">
      <alignment horizontal="left"/>
    </xf>
    <xf numFmtId="0" fontId="2" fillId="4" borderId="0" xfId="0" applyFont="1" applyFill="1" applyBorder="1" applyProtection="1"/>
    <xf numFmtId="0" fontId="9" fillId="4" borderId="7" xfId="0" applyFont="1" applyFill="1" applyBorder="1" applyProtection="1"/>
    <xf numFmtId="0" fontId="2" fillId="4" borderId="2" xfId="0" applyFont="1" applyFill="1" applyBorder="1" applyProtection="1"/>
    <xf numFmtId="9" fontId="6" fillId="7" borderId="9" xfId="1" applyFont="1" applyFill="1" applyBorder="1" applyAlignment="1" applyProtection="1">
      <alignment vertical="center"/>
    </xf>
    <xf numFmtId="9" fontId="7" fillId="7" borderId="10" xfId="1" applyFont="1" applyFill="1" applyBorder="1" applyAlignment="1" applyProtection="1">
      <alignment vertical="center"/>
    </xf>
    <xf numFmtId="9" fontId="3" fillId="3" borderId="12" xfId="1"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9" fontId="2" fillId="3" borderId="1" xfId="1" applyFont="1" applyFill="1" applyBorder="1" applyAlignment="1" applyProtection="1">
      <alignment vertical="center"/>
    </xf>
    <xf numFmtId="9" fontId="2" fillId="4" borderId="0" xfId="1" applyFont="1" applyFill="1" applyProtection="1"/>
    <xf numFmtId="0" fontId="19" fillId="3" borderId="13" xfId="0" applyFont="1" applyFill="1" applyBorder="1" applyAlignment="1" applyProtection="1">
      <alignment vertical="center"/>
    </xf>
    <xf numFmtId="0" fontId="3" fillId="3" borderId="7" xfId="0" applyFont="1" applyFill="1" applyBorder="1" applyAlignment="1" applyProtection="1">
      <alignment horizontal="left" vertical="center"/>
    </xf>
    <xf numFmtId="1" fontId="30" fillId="3" borderId="36" xfId="0" applyNumberFormat="1" applyFont="1" applyFill="1" applyBorder="1" applyAlignment="1" applyProtection="1">
      <alignment horizontal="center" vertical="center"/>
    </xf>
    <xf numFmtId="0" fontId="2" fillId="3" borderId="2" xfId="0" applyFont="1" applyFill="1" applyBorder="1" applyAlignment="1" applyProtection="1">
      <alignment vertical="center"/>
    </xf>
    <xf numFmtId="0" fontId="3" fillId="3" borderId="7" xfId="0" applyFont="1" applyFill="1" applyBorder="1" applyAlignment="1" applyProtection="1">
      <alignment vertical="center"/>
    </xf>
    <xf numFmtId="0" fontId="18" fillId="3" borderId="36" xfId="0" applyFont="1" applyFill="1" applyBorder="1" applyAlignment="1" applyProtection="1">
      <alignment horizontal="left" vertical="center"/>
    </xf>
    <xf numFmtId="0" fontId="19" fillId="3" borderId="7" xfId="0" applyFont="1" applyFill="1" applyBorder="1" applyAlignment="1" applyProtection="1">
      <alignment vertical="center"/>
    </xf>
    <xf numFmtId="0" fontId="3" fillId="4" borderId="21" xfId="0" applyFont="1" applyFill="1" applyBorder="1" applyAlignment="1" applyProtection="1">
      <alignment horizontal="right"/>
    </xf>
    <xf numFmtId="0" fontId="3" fillId="4" borderId="20" xfId="0" applyFont="1" applyFill="1" applyBorder="1" applyAlignment="1" applyProtection="1">
      <alignment horizontal="right"/>
    </xf>
    <xf numFmtId="0" fontId="3" fillId="4" borderId="39" xfId="0" applyFont="1" applyFill="1" applyBorder="1" applyAlignment="1" applyProtection="1">
      <alignment horizontal="left"/>
    </xf>
    <xf numFmtId="0" fontId="18" fillId="4" borderId="35" xfId="0" applyFont="1" applyFill="1" applyBorder="1" applyAlignment="1" applyProtection="1">
      <alignment horizontal="left"/>
    </xf>
    <xf numFmtId="0" fontId="2" fillId="4" borderId="19" xfId="0" applyFont="1" applyFill="1" applyBorder="1" applyProtection="1"/>
    <xf numFmtId="0" fontId="3" fillId="4" borderId="23" xfId="0" applyFont="1" applyFill="1" applyBorder="1" applyAlignment="1" applyProtection="1">
      <alignment horizontal="right"/>
    </xf>
    <xf numFmtId="0" fontId="3" fillId="4" borderId="24" xfId="0" applyFont="1" applyFill="1" applyBorder="1" applyAlignment="1" applyProtection="1">
      <alignment horizontal="right"/>
    </xf>
    <xf numFmtId="0" fontId="2" fillId="4" borderId="25" xfId="0" applyFont="1" applyFill="1" applyBorder="1" applyProtection="1"/>
    <xf numFmtId="0" fontId="2" fillId="3" borderId="19" xfId="0" applyFont="1" applyFill="1" applyBorder="1" applyAlignment="1" applyProtection="1">
      <alignment vertical="center"/>
    </xf>
    <xf numFmtId="0" fontId="19" fillId="3" borderId="16" xfId="0" applyFont="1" applyFill="1" applyBorder="1" applyAlignment="1" applyProtection="1">
      <alignment vertical="center"/>
    </xf>
    <xf numFmtId="0" fontId="3" fillId="3" borderId="36" xfId="0" applyFont="1" applyFill="1" applyBorder="1" applyAlignment="1" applyProtection="1">
      <alignment horizontal="left" vertical="center"/>
    </xf>
    <xf numFmtId="10" fontId="2" fillId="6" borderId="15" xfId="0" applyNumberFormat="1" applyFont="1" applyFill="1" applyBorder="1" applyAlignment="1" applyProtection="1">
      <alignment vertical="center"/>
    </xf>
    <xf numFmtId="0" fontId="3" fillId="4" borderId="23" xfId="0" applyFont="1" applyFill="1" applyBorder="1" applyAlignment="1" applyProtection="1">
      <alignment horizontal="right" vertical="center"/>
    </xf>
    <xf numFmtId="0" fontId="3" fillId="4" borderId="24" xfId="0" applyFont="1" applyFill="1" applyBorder="1" applyAlignment="1" applyProtection="1">
      <alignment horizontal="right" vertical="center"/>
    </xf>
    <xf numFmtId="0" fontId="3" fillId="4" borderId="24" xfId="0" applyFont="1" applyFill="1" applyBorder="1" applyAlignment="1" applyProtection="1">
      <alignment horizontal="left" vertical="center"/>
    </xf>
    <xf numFmtId="0" fontId="2" fillId="4" borderId="25" xfId="0" applyFont="1" applyFill="1" applyBorder="1" applyAlignment="1" applyProtection="1">
      <alignment vertical="center"/>
    </xf>
    <xf numFmtId="0" fontId="12" fillId="3" borderId="22" xfId="0" applyFont="1" applyFill="1" applyBorder="1" applyAlignment="1" applyProtection="1">
      <alignment horizontal="center" vertical="center"/>
    </xf>
    <xf numFmtId="0" fontId="3" fillId="3" borderId="18" xfId="0" applyFont="1" applyFill="1" applyBorder="1" applyAlignment="1" applyProtection="1">
      <alignment vertical="center"/>
    </xf>
    <xf numFmtId="0" fontId="3" fillId="3" borderId="3" xfId="0" applyFont="1" applyFill="1" applyBorder="1" applyAlignment="1" applyProtection="1">
      <alignment horizontal="center" vertical="center"/>
    </xf>
    <xf numFmtId="0" fontId="2" fillId="3" borderId="4" xfId="0" applyFont="1" applyFill="1" applyBorder="1" applyAlignment="1" applyProtection="1">
      <alignment vertical="center"/>
    </xf>
    <xf numFmtId="0" fontId="2" fillId="4" borderId="0" xfId="0" applyFont="1" applyFill="1" applyBorder="1" applyAlignment="1" applyProtection="1">
      <alignment vertical="center"/>
    </xf>
    <xf numFmtId="0" fontId="9" fillId="4" borderId="3" xfId="0" applyFont="1" applyFill="1" applyBorder="1" applyProtection="1"/>
    <xf numFmtId="0" fontId="2" fillId="4" borderId="3" xfId="0" applyFont="1" applyFill="1" applyBorder="1" applyProtection="1"/>
    <xf numFmtId="9" fontId="3" fillId="3" borderId="6" xfId="1" applyFont="1" applyFill="1" applyBorder="1" applyAlignment="1" applyProtection="1">
      <alignment horizontal="left" vertical="center"/>
    </xf>
    <xf numFmtId="9" fontId="2" fillId="3" borderId="6" xfId="1" applyFont="1" applyFill="1" applyBorder="1" applyAlignment="1" applyProtection="1">
      <alignment vertical="center"/>
    </xf>
    <xf numFmtId="0" fontId="3" fillId="3" borderId="7" xfId="0" applyFont="1" applyFill="1" applyBorder="1" applyAlignment="1" applyProtection="1">
      <alignment horizontal="left" vertical="center" wrapText="1"/>
    </xf>
    <xf numFmtId="2" fontId="2" fillId="6" borderId="11" xfId="0" applyNumberFormat="1" applyFont="1" applyFill="1" applyBorder="1" applyAlignment="1" applyProtection="1">
      <alignment vertical="center"/>
    </xf>
    <xf numFmtId="0" fontId="2" fillId="3" borderId="2" xfId="0" applyFont="1" applyFill="1" applyBorder="1" applyAlignment="1" applyProtection="1">
      <alignment vertical="center" wrapText="1"/>
    </xf>
    <xf numFmtId="0" fontId="3" fillId="3" borderId="15" xfId="0" applyFont="1" applyFill="1" applyBorder="1" applyAlignment="1" applyProtection="1">
      <alignment horizontal="left" vertical="center"/>
    </xf>
    <xf numFmtId="1" fontId="9" fillId="6" borderId="15" xfId="0" applyNumberFormat="1" applyFont="1" applyFill="1" applyBorder="1" applyAlignment="1" applyProtection="1">
      <alignment horizontal="right" vertical="center"/>
    </xf>
    <xf numFmtId="0" fontId="3" fillId="3" borderId="24" xfId="0" applyFont="1" applyFill="1" applyBorder="1" applyAlignment="1" applyProtection="1">
      <alignment horizontal="left" vertical="center"/>
    </xf>
    <xf numFmtId="0" fontId="2" fillId="3" borderId="25" xfId="0" applyFont="1" applyFill="1" applyBorder="1" applyAlignment="1" applyProtection="1">
      <alignment vertical="center" wrapText="1"/>
    </xf>
    <xf numFmtId="0" fontId="3" fillId="3" borderId="13" xfId="0" applyFont="1" applyFill="1" applyBorder="1" applyAlignment="1" applyProtection="1">
      <alignment vertical="center"/>
    </xf>
    <xf numFmtId="164" fontId="2" fillId="6" borderId="13" xfId="0" applyNumberFormat="1" applyFont="1" applyFill="1" applyBorder="1" applyAlignment="1" applyProtection="1">
      <alignment vertical="center"/>
    </xf>
    <xf numFmtId="0" fontId="3" fillId="3" borderId="16" xfId="0" applyFont="1" applyFill="1" applyBorder="1" applyAlignment="1" applyProtection="1">
      <alignment horizontal="left" vertical="center"/>
    </xf>
    <xf numFmtId="166" fontId="2" fillId="6" borderId="16" xfId="0" applyNumberFormat="1" applyFont="1" applyFill="1" applyBorder="1" applyAlignment="1" applyProtection="1">
      <alignment vertical="center"/>
    </xf>
    <xf numFmtId="0" fontId="3" fillId="3" borderId="14" xfId="0" applyFont="1" applyFill="1" applyBorder="1" applyAlignment="1" applyProtection="1">
      <alignment horizontal="left" vertical="center"/>
    </xf>
    <xf numFmtId="166" fontId="2" fillId="6" borderId="14" xfId="0" applyNumberFormat="1" applyFont="1" applyFill="1" applyBorder="1" applyAlignment="1" applyProtection="1">
      <alignment vertical="center"/>
    </xf>
    <xf numFmtId="0" fontId="3" fillId="3" borderId="28" xfId="0" applyFont="1" applyFill="1" applyBorder="1" applyAlignment="1" applyProtection="1">
      <alignment horizontal="left" vertical="center"/>
    </xf>
    <xf numFmtId="0" fontId="2" fillId="3" borderId="29" xfId="0" applyFont="1" applyFill="1" applyBorder="1" applyAlignment="1" applyProtection="1">
      <alignment vertical="center" wrapText="1"/>
    </xf>
    <xf numFmtId="1" fontId="2" fillId="6" borderId="13" xfId="0" applyNumberFormat="1" applyFont="1" applyFill="1" applyBorder="1" applyAlignment="1" applyProtection="1">
      <alignment vertical="center"/>
    </xf>
    <xf numFmtId="164" fontId="2" fillId="6" borderId="16" xfId="0" applyNumberFormat="1" applyFont="1" applyFill="1" applyBorder="1" applyAlignment="1" applyProtection="1">
      <alignment vertical="center"/>
    </xf>
    <xf numFmtId="0" fontId="3" fillId="3" borderId="3" xfId="0" applyFont="1" applyFill="1" applyBorder="1" applyAlignment="1" applyProtection="1">
      <alignment horizontal="left" vertical="center"/>
    </xf>
    <xf numFmtId="0" fontId="2" fillId="4" borderId="7" xfId="0" applyFont="1" applyFill="1" applyBorder="1" applyProtection="1"/>
    <xf numFmtId="0" fontId="3" fillId="3" borderId="13" xfId="0" applyFont="1" applyFill="1" applyBorder="1" applyAlignment="1" applyProtection="1">
      <alignment horizontal="left" vertical="center"/>
    </xf>
    <xf numFmtId="164" fontId="9" fillId="6" borderId="13" xfId="0" applyNumberFormat="1" applyFont="1" applyFill="1" applyBorder="1" applyAlignment="1" applyProtection="1">
      <alignment horizontal="right" vertical="center"/>
    </xf>
    <xf numFmtId="0" fontId="3" fillId="3" borderId="20" xfId="0" applyFont="1" applyFill="1" applyBorder="1" applyProtection="1"/>
    <xf numFmtId="0" fontId="2" fillId="3" borderId="20" xfId="0" applyFont="1" applyFill="1" applyBorder="1" applyProtection="1"/>
    <xf numFmtId="0" fontId="32" fillId="3" borderId="19" xfId="0" quotePrefix="1" applyFont="1" applyFill="1" applyBorder="1" applyProtection="1"/>
    <xf numFmtId="0" fontId="12" fillId="3" borderId="19" xfId="0" quotePrefix="1" applyFont="1" applyFill="1" applyBorder="1" applyProtection="1"/>
    <xf numFmtId="0" fontId="3" fillId="3" borderId="16" xfId="0" applyFont="1" applyFill="1" applyBorder="1" applyAlignment="1" applyProtection="1">
      <alignment vertical="center"/>
    </xf>
    <xf numFmtId="164" fontId="9" fillId="6" borderId="16" xfId="0" applyNumberFormat="1" applyFont="1" applyFill="1" applyBorder="1" applyAlignment="1" applyProtection="1">
      <alignment vertical="center"/>
    </xf>
    <xf numFmtId="0" fontId="3" fillId="3" borderId="0" xfId="0" applyFont="1" applyFill="1" applyBorder="1" applyProtection="1"/>
    <xf numFmtId="0" fontId="2" fillId="3" borderId="2" xfId="0" quotePrefix="1" applyFont="1" applyFill="1" applyBorder="1" applyProtection="1"/>
    <xf numFmtId="0" fontId="2" fillId="3" borderId="28" xfId="0" applyFont="1" applyFill="1" applyBorder="1" applyProtection="1"/>
    <xf numFmtId="0" fontId="2" fillId="3" borderId="29" xfId="0" quotePrefix="1" applyFont="1" applyFill="1" applyBorder="1" applyProtection="1"/>
    <xf numFmtId="0" fontId="2" fillId="3" borderId="19" xfId="0" quotePrefix="1" applyFont="1" applyFill="1" applyBorder="1" applyProtection="1"/>
    <xf numFmtId="0" fontId="3" fillId="3" borderId="14" xfId="0" applyFont="1" applyFill="1" applyBorder="1" applyAlignment="1" applyProtection="1">
      <alignment vertical="center"/>
    </xf>
    <xf numFmtId="164" fontId="2" fillId="6" borderId="14" xfId="0" applyNumberFormat="1" applyFont="1" applyFill="1" applyBorder="1" applyAlignment="1" applyProtection="1">
      <alignment vertical="center"/>
    </xf>
    <xf numFmtId="0" fontId="3" fillId="3" borderId="21" xfId="0" applyFont="1" applyFill="1" applyBorder="1" applyProtection="1"/>
    <xf numFmtId="0" fontId="3" fillId="3" borderId="20" xfId="0" applyFont="1" applyFill="1" applyBorder="1" applyAlignment="1" applyProtection="1">
      <alignment horizontal="left"/>
    </xf>
    <xf numFmtId="0" fontId="2" fillId="3" borderId="19" xfId="0" applyFont="1" applyFill="1" applyBorder="1" applyProtection="1"/>
    <xf numFmtId="0" fontId="23" fillId="3" borderId="7" xfId="0" applyFont="1" applyFill="1" applyBorder="1" applyProtection="1"/>
    <xf numFmtId="164" fontId="2" fillId="9" borderId="36" xfId="0" applyNumberFormat="1" applyFont="1" applyFill="1" applyBorder="1" applyProtection="1"/>
    <xf numFmtId="1" fontId="2" fillId="9" borderId="36" xfId="0" applyNumberFormat="1" applyFont="1" applyFill="1" applyBorder="1" applyProtection="1"/>
    <xf numFmtId="0" fontId="23" fillId="3" borderId="34" xfId="0" applyFont="1" applyFill="1" applyBorder="1" applyAlignment="1" applyProtection="1">
      <alignment vertical="center"/>
    </xf>
    <xf numFmtId="10" fontId="2" fillId="9" borderId="37" xfId="0" applyNumberFormat="1" applyFont="1" applyFill="1" applyBorder="1" applyAlignment="1" applyProtection="1">
      <alignment vertical="center"/>
    </xf>
    <xf numFmtId="0" fontId="9" fillId="3" borderId="29" xfId="0" applyFont="1" applyFill="1" applyBorder="1" applyAlignment="1" applyProtection="1">
      <alignment vertical="center" wrapText="1"/>
    </xf>
    <xf numFmtId="0" fontId="3" fillId="4" borderId="7" xfId="0" applyFont="1" applyFill="1" applyBorder="1" applyProtection="1"/>
    <xf numFmtId="0" fontId="3" fillId="4" borderId="0" xfId="0" applyFont="1" applyFill="1" applyBorder="1" applyAlignment="1" applyProtection="1">
      <alignment horizontal="right"/>
    </xf>
    <xf numFmtId="0" fontId="23" fillId="3" borderId="34" xfId="0" applyFont="1" applyFill="1" applyBorder="1" applyProtection="1"/>
    <xf numFmtId="10" fontId="2" fillId="9" borderId="37" xfId="0" applyNumberFormat="1" applyFont="1" applyFill="1" applyBorder="1" applyProtection="1"/>
    <xf numFmtId="0" fontId="3" fillId="3" borderId="28" xfId="0" applyFont="1" applyFill="1" applyBorder="1" applyAlignment="1" applyProtection="1">
      <alignment horizontal="left"/>
    </xf>
    <xf numFmtId="0" fontId="9" fillId="3" borderId="29" xfId="0" applyFont="1" applyFill="1" applyBorder="1" applyProtection="1"/>
    <xf numFmtId="0" fontId="9" fillId="4" borderId="7" xfId="0" applyFont="1" applyFill="1" applyBorder="1" applyAlignment="1" applyProtection="1">
      <alignment horizontal="right"/>
    </xf>
    <xf numFmtId="0" fontId="17" fillId="4" borderId="0" xfId="0" applyFont="1" applyFill="1" applyBorder="1" applyAlignment="1" applyProtection="1">
      <alignment horizontal="left"/>
    </xf>
    <xf numFmtId="0" fontId="23" fillId="3" borderId="21" xfId="0" applyFont="1" applyFill="1" applyBorder="1" applyProtection="1"/>
    <xf numFmtId="164" fontId="2" fillId="9" borderId="35" xfId="0" applyNumberFormat="1" applyFont="1" applyFill="1" applyBorder="1" applyProtection="1"/>
    <xf numFmtId="165" fontId="2" fillId="9" borderId="37" xfId="0" applyNumberFormat="1" applyFont="1" applyFill="1" applyBorder="1" applyProtection="1"/>
    <xf numFmtId="0" fontId="3" fillId="4" borderId="0" xfId="0" applyFont="1" applyFill="1" applyBorder="1" applyProtection="1"/>
    <xf numFmtId="0" fontId="2" fillId="4" borderId="0" xfId="0" applyFont="1" applyFill="1" applyAlignment="1" applyProtection="1">
      <alignment horizontal="center"/>
    </xf>
    <xf numFmtId="0" fontId="14" fillId="4" borderId="0" xfId="0" applyFont="1" applyFill="1" applyBorder="1" applyProtection="1"/>
    <xf numFmtId="9" fontId="37" fillId="7" borderId="9" xfId="1" applyFont="1" applyFill="1" applyBorder="1" applyAlignment="1" applyProtection="1">
      <alignment vertical="center"/>
    </xf>
    <xf numFmtId="9" fontId="3" fillId="4" borderId="6" xfId="1" applyFont="1" applyFill="1" applyBorder="1" applyAlignment="1" applyProtection="1">
      <alignment horizontal="left" vertical="center"/>
    </xf>
    <xf numFmtId="9" fontId="2" fillId="4" borderId="6" xfId="1" applyFont="1" applyFill="1" applyBorder="1" applyAlignment="1" applyProtection="1">
      <alignment vertical="center"/>
    </xf>
    <xf numFmtId="9" fontId="2" fillId="4" borderId="1" xfId="1" applyFont="1" applyFill="1" applyBorder="1" applyAlignment="1" applyProtection="1">
      <alignment vertical="center"/>
    </xf>
    <xf numFmtId="0" fontId="47" fillId="4" borderId="7" xfId="0" applyFont="1" applyFill="1" applyBorder="1" applyAlignment="1" applyProtection="1">
      <alignment vertical="center"/>
    </xf>
    <xf numFmtId="9" fontId="3" fillId="4" borderId="0" xfId="1" applyFont="1" applyFill="1" applyBorder="1" applyAlignment="1" applyProtection="1">
      <alignment horizontal="left" vertical="center"/>
    </xf>
    <xf numFmtId="9" fontId="2" fillId="4" borderId="0" xfId="1" applyFont="1" applyFill="1" applyBorder="1" applyAlignment="1" applyProtection="1">
      <alignment vertical="center"/>
    </xf>
    <xf numFmtId="9" fontId="2" fillId="4" borderId="2" xfId="1" applyFont="1" applyFill="1" applyBorder="1" applyAlignment="1" applyProtection="1">
      <alignment vertical="center"/>
    </xf>
    <xf numFmtId="0" fontId="3" fillId="4" borderId="0" xfId="0" applyFont="1" applyFill="1" applyBorder="1" applyAlignment="1" applyProtection="1">
      <alignment horizontal="left" vertical="center"/>
    </xf>
    <xf numFmtId="0" fontId="3" fillId="4" borderId="2" xfId="0" applyFont="1" applyFill="1" applyBorder="1" applyAlignment="1" applyProtection="1">
      <alignment wrapText="1"/>
    </xf>
    <xf numFmtId="1" fontId="2" fillId="8" borderId="30" xfId="0" applyNumberFormat="1" applyFont="1" applyFill="1" applyBorder="1" applyAlignment="1" applyProtection="1">
      <alignment vertical="center"/>
    </xf>
    <xf numFmtId="0" fontId="2" fillId="4" borderId="8" xfId="0" applyFont="1" applyFill="1" applyBorder="1" applyProtection="1"/>
    <xf numFmtId="0" fontId="3" fillId="4" borderId="3" xfId="0" applyFont="1" applyFill="1" applyBorder="1" applyAlignment="1" applyProtection="1">
      <alignment horizontal="left"/>
    </xf>
    <xf numFmtId="0" fontId="32" fillId="4" borderId="4" xfId="0" applyFont="1" applyFill="1" applyBorder="1" applyProtection="1"/>
    <xf numFmtId="1" fontId="2" fillId="6" borderId="30" xfId="0" applyNumberFormat="1" applyFont="1" applyFill="1" applyBorder="1" applyAlignment="1" applyProtection="1"/>
    <xf numFmtId="0" fontId="2" fillId="4" borderId="4" xfId="0" applyFont="1" applyFill="1" applyBorder="1" applyProtection="1"/>
    <xf numFmtId="0" fontId="3" fillId="4" borderId="6" xfId="0" applyFont="1" applyFill="1" applyBorder="1" applyAlignment="1" applyProtection="1">
      <alignment horizontal="left" vertical="center"/>
    </xf>
    <xf numFmtId="0" fontId="2" fillId="4" borderId="6" xfId="0" applyFont="1" applyFill="1" applyBorder="1" applyAlignment="1" applyProtection="1">
      <alignment vertical="center"/>
    </xf>
    <xf numFmtId="0" fontId="2" fillId="4" borderId="1" xfId="0" applyFont="1" applyFill="1" applyBorder="1" applyAlignment="1" applyProtection="1">
      <alignment vertical="center"/>
    </xf>
    <xf numFmtId="0" fontId="8" fillId="4" borderId="0" xfId="0" applyFont="1" applyFill="1" applyBorder="1" applyAlignment="1" applyProtection="1">
      <alignment horizontal="left"/>
    </xf>
    <xf numFmtId="0" fontId="3" fillId="4" borderId="8" xfId="0" applyFont="1" applyFill="1" applyBorder="1" applyProtection="1"/>
    <xf numFmtId="0" fontId="2" fillId="4" borderId="0" xfId="0" applyFont="1" applyFill="1" applyAlignment="1" applyProtection="1">
      <alignment horizontal="right" vertical="center"/>
    </xf>
    <xf numFmtId="164" fontId="3" fillId="4" borderId="0" xfId="0" applyNumberFormat="1" applyFont="1" applyFill="1" applyAlignment="1" applyProtection="1">
      <alignment horizontal="center"/>
    </xf>
    <xf numFmtId="0" fontId="3" fillId="4" borderId="20" xfId="0" applyFont="1" applyFill="1" applyBorder="1" applyAlignment="1" applyProtection="1">
      <alignment horizontal="left"/>
    </xf>
    <xf numFmtId="0" fontId="3" fillId="3" borderId="21" xfId="0" applyFont="1" applyFill="1" applyBorder="1" applyAlignment="1" applyProtection="1">
      <alignment horizontal="left" vertical="center"/>
    </xf>
    <xf numFmtId="0" fontId="3" fillId="3" borderId="20" xfId="0" applyFont="1" applyFill="1" applyBorder="1" applyAlignment="1" applyProtection="1">
      <alignment horizontal="left" vertical="center"/>
    </xf>
    <xf numFmtId="0" fontId="3" fillId="4" borderId="0" xfId="0" applyFont="1" applyFill="1" applyBorder="1" applyAlignment="1" applyProtection="1">
      <alignment horizontal="right" vertical="center"/>
    </xf>
    <xf numFmtId="0" fontId="38" fillId="3" borderId="21" xfId="0" applyFont="1" applyFill="1" applyBorder="1" applyProtection="1"/>
    <xf numFmtId="0" fontId="38" fillId="3" borderId="7" xfId="0" applyFont="1" applyFill="1" applyBorder="1" applyProtection="1"/>
    <xf numFmtId="164" fontId="2" fillId="9" borderId="15" xfId="0" applyNumberFormat="1" applyFont="1" applyFill="1" applyBorder="1" applyProtection="1"/>
    <xf numFmtId="0" fontId="38" fillId="3" borderId="14" xfId="0" applyFont="1" applyFill="1" applyBorder="1" applyAlignment="1" applyProtection="1">
      <alignment vertical="center"/>
    </xf>
    <xf numFmtId="0" fontId="38" fillId="4" borderId="7" xfId="0" applyFont="1" applyFill="1" applyBorder="1" applyProtection="1"/>
    <xf numFmtId="0" fontId="38" fillId="3" borderId="14" xfId="0" applyFont="1" applyFill="1" applyBorder="1" applyProtection="1"/>
    <xf numFmtId="0" fontId="38" fillId="4" borderId="7" xfId="0" applyFont="1" applyFill="1" applyBorder="1" applyAlignment="1" applyProtection="1">
      <alignment horizontal="right"/>
    </xf>
    <xf numFmtId="0" fontId="38" fillId="3" borderId="13" xfId="0" applyFont="1" applyFill="1" applyBorder="1" applyProtection="1"/>
    <xf numFmtId="0" fontId="3" fillId="3" borderId="21" xfId="0" applyFont="1" applyFill="1" applyBorder="1" applyAlignment="1" applyProtection="1">
      <alignment horizontal="left"/>
    </xf>
    <xf numFmtId="0" fontId="45" fillId="3" borderId="31" xfId="0" applyFont="1" applyFill="1" applyBorder="1" applyProtection="1"/>
    <xf numFmtId="164" fontId="2" fillId="9" borderId="27" xfId="0" applyNumberFormat="1" applyFont="1" applyFill="1" applyBorder="1" applyProtection="1"/>
    <xf numFmtId="0" fontId="3" fillId="3" borderId="32" xfId="0" applyFont="1" applyFill="1" applyBorder="1" applyAlignment="1" applyProtection="1">
      <alignment horizontal="left"/>
    </xf>
    <xf numFmtId="0" fontId="2" fillId="3" borderId="33" xfId="0" applyFont="1" applyFill="1" applyBorder="1" applyProtection="1"/>
    <xf numFmtId="0" fontId="3" fillId="3" borderId="8" xfId="0" applyFont="1" applyFill="1" applyBorder="1" applyAlignment="1" applyProtection="1">
      <alignment horizontal="left" vertical="center" wrapText="1"/>
    </xf>
    <xf numFmtId="2" fontId="2" fillId="6" borderId="27" xfId="0" applyNumberFormat="1" applyFont="1" applyFill="1" applyBorder="1" applyAlignment="1" applyProtection="1">
      <alignment vertical="center"/>
    </xf>
    <xf numFmtId="0" fontId="2" fillId="3" borderId="4" xfId="0" applyFont="1" applyFill="1" applyBorder="1" applyAlignment="1" applyProtection="1">
      <alignment vertical="center" wrapText="1"/>
    </xf>
    <xf numFmtId="0" fontId="3" fillId="3" borderId="21" xfId="0" applyFont="1" applyFill="1" applyBorder="1" applyAlignment="1" applyProtection="1">
      <alignment vertical="center"/>
    </xf>
    <xf numFmtId="0" fontId="3" fillId="3" borderId="34" xfId="0" applyFont="1" applyFill="1" applyBorder="1" applyAlignment="1" applyProtection="1">
      <alignment vertical="center"/>
    </xf>
    <xf numFmtId="164" fontId="2" fillId="11" borderId="14" xfId="0" applyNumberFormat="1" applyFont="1" applyFill="1" applyBorder="1" applyAlignment="1" applyProtection="1">
      <alignment vertical="center"/>
    </xf>
    <xf numFmtId="0" fontId="3" fillId="3" borderId="28" xfId="0" applyFont="1" applyFill="1" applyBorder="1" applyAlignment="1" applyProtection="1">
      <alignment horizontal="center" vertical="center"/>
    </xf>
    <xf numFmtId="0" fontId="2" fillId="3" borderId="29" xfId="0" applyFont="1" applyFill="1" applyBorder="1" applyAlignment="1" applyProtection="1">
      <alignment horizontal="left" vertical="center"/>
    </xf>
    <xf numFmtId="0" fontId="14" fillId="3" borderId="29" xfId="0" applyFont="1" applyFill="1" applyBorder="1" applyAlignment="1" applyProtection="1">
      <alignment horizontal="left" vertical="center"/>
    </xf>
    <xf numFmtId="0" fontId="3" fillId="3" borderId="29" xfId="0" applyFont="1" applyFill="1" applyBorder="1" applyAlignment="1" applyProtection="1">
      <alignment wrapText="1"/>
    </xf>
    <xf numFmtId="0" fontId="3" fillId="3" borderId="12" xfId="0" applyFont="1" applyFill="1" applyBorder="1" applyProtection="1"/>
    <xf numFmtId="0" fontId="3" fillId="3" borderId="6" xfId="0" applyFont="1" applyFill="1" applyBorder="1" applyAlignment="1" applyProtection="1">
      <alignment horizontal="left"/>
    </xf>
    <xf numFmtId="0" fontId="2" fillId="3" borderId="1" xfId="0" applyFont="1" applyFill="1" applyBorder="1" applyProtection="1"/>
    <xf numFmtId="0" fontId="2" fillId="3" borderId="31" xfId="0" applyFont="1" applyFill="1" applyBorder="1" applyProtection="1"/>
    <xf numFmtId="164" fontId="2" fillId="9" borderId="26" xfId="0" applyNumberFormat="1" applyFont="1" applyFill="1" applyBorder="1" applyProtection="1"/>
    <xf numFmtId="0" fontId="2" fillId="0" borderId="0" xfId="0" applyFont="1" applyFill="1" applyBorder="1" applyAlignment="1" applyProtection="1">
      <alignment vertical="center"/>
    </xf>
    <xf numFmtId="0" fontId="2" fillId="0" borderId="0" xfId="0" applyFont="1" applyFill="1" applyAlignment="1" applyProtection="1">
      <alignment vertical="center"/>
    </xf>
    <xf numFmtId="0" fontId="50" fillId="0" borderId="0" xfId="0" applyFont="1" applyFill="1" applyBorder="1" applyAlignment="1" applyProtection="1">
      <alignment vertical="center"/>
    </xf>
    <xf numFmtId="167" fontId="2" fillId="6" borderId="16" xfId="0" applyNumberFormat="1" applyFont="1" applyFill="1" applyBorder="1" applyAlignment="1" applyProtection="1">
      <alignment vertical="center"/>
    </xf>
    <xf numFmtId="2" fontId="30" fillId="3" borderId="35" xfId="0" applyNumberFormat="1" applyFont="1" applyFill="1" applyBorder="1" applyAlignment="1" applyProtection="1">
      <alignment horizontal="center" vertical="center"/>
    </xf>
    <xf numFmtId="0" fontId="6" fillId="4" borderId="0" xfId="0" applyFont="1" applyFill="1" applyBorder="1" applyAlignment="1" applyProtection="1">
      <alignment horizontal="left"/>
    </xf>
    <xf numFmtId="1" fontId="2" fillId="0" borderId="0" xfId="0" applyNumberFormat="1" applyFont="1" applyFill="1" applyBorder="1" applyAlignment="1" applyProtection="1">
      <alignment vertical="center"/>
      <protection locked="0"/>
    </xf>
    <xf numFmtId="0" fontId="2" fillId="0" borderId="0" xfId="0" applyFont="1" applyFill="1" applyBorder="1" applyAlignment="1" applyProtection="1">
      <alignment vertical="center"/>
      <protection locked="0"/>
    </xf>
    <xf numFmtId="0" fontId="2" fillId="0" borderId="0" xfId="0" applyFont="1" applyFill="1" applyBorder="1" applyAlignment="1" applyProtection="1">
      <alignment horizontal="right"/>
      <protection locked="0"/>
    </xf>
    <xf numFmtId="0" fontId="2" fillId="0" borderId="0" xfId="0" applyFont="1" applyFill="1" applyBorder="1" applyProtection="1">
      <protection locked="0"/>
    </xf>
    <xf numFmtId="0" fontId="2" fillId="0" borderId="0" xfId="0" applyNumberFormat="1" applyFont="1" applyFill="1" applyBorder="1" applyAlignment="1" applyProtection="1">
      <alignment vertical="center"/>
      <protection locked="0"/>
    </xf>
    <xf numFmtId="0" fontId="30" fillId="0" borderId="0" xfId="0" applyFont="1" applyFill="1" applyBorder="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2" fillId="0" borderId="0" xfId="0" applyNumberFormat="1" applyFont="1" applyFill="1" applyBorder="1" applyProtection="1">
      <protection locked="0"/>
    </xf>
    <xf numFmtId="0" fontId="53" fillId="4" borderId="0" xfId="0" applyFont="1" applyFill="1" applyBorder="1" applyAlignment="1" applyProtection="1">
      <alignment vertical="center"/>
    </xf>
    <xf numFmtId="0" fontId="2" fillId="4" borderId="0" xfId="0" applyFont="1" applyFill="1" applyBorder="1" applyProtection="1">
      <protection locked="0"/>
    </xf>
    <xf numFmtId="0" fontId="3" fillId="4" borderId="0" xfId="0" applyFont="1" applyFill="1" applyBorder="1" applyAlignment="1" applyProtection="1">
      <alignment horizontal="left"/>
      <protection locked="0"/>
    </xf>
    <xf numFmtId="0" fontId="2" fillId="4" borderId="0" xfId="0" applyFont="1" applyFill="1" applyProtection="1">
      <protection locked="0"/>
    </xf>
    <xf numFmtId="9" fontId="37" fillId="0" borderId="0" xfId="1" applyFont="1" applyFill="1" applyBorder="1" applyAlignment="1" applyProtection="1">
      <alignment vertical="center"/>
      <protection locked="0"/>
    </xf>
    <xf numFmtId="9" fontId="7" fillId="0" borderId="0" xfId="1" applyFont="1" applyFill="1" applyBorder="1" applyAlignment="1" applyProtection="1">
      <alignment vertical="center"/>
      <protection locked="0"/>
    </xf>
    <xf numFmtId="9" fontId="3" fillId="0" borderId="0" xfId="1" applyFont="1" applyFill="1" applyBorder="1" applyAlignment="1" applyProtection="1">
      <alignment horizontal="left" vertical="center"/>
      <protection locked="0"/>
    </xf>
    <xf numFmtId="9" fontId="2" fillId="0" borderId="0" xfId="1" applyFont="1" applyFill="1" applyBorder="1" applyAlignment="1" applyProtection="1">
      <alignment vertical="center"/>
      <protection locked="0"/>
    </xf>
    <xf numFmtId="0" fontId="47" fillId="0" borderId="0" xfId="0" applyFont="1" applyFill="1" applyBorder="1" applyAlignment="1" applyProtection="1">
      <alignment vertical="center"/>
      <protection locked="0"/>
    </xf>
    <xf numFmtId="0" fontId="3" fillId="0"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protection locked="0"/>
    </xf>
    <xf numFmtId="0" fontId="3" fillId="0" borderId="0" xfId="0" applyFont="1" applyFill="1" applyBorder="1" applyAlignment="1" applyProtection="1">
      <alignment wrapText="1"/>
      <protection locked="0"/>
    </xf>
    <xf numFmtId="1" fontId="2" fillId="0" borderId="0" xfId="0" applyNumberFormat="1" applyFont="1" applyFill="1" applyBorder="1" applyAlignment="1" applyProtection="1">
      <protection locked="0"/>
    </xf>
    <xf numFmtId="0" fontId="9" fillId="0" borderId="0" xfId="0" applyFont="1" applyFill="1" applyBorder="1" applyProtection="1">
      <protection locked="0"/>
    </xf>
    <xf numFmtId="0" fontId="6" fillId="0" borderId="0"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3" fillId="0" borderId="0" xfId="0" applyFont="1" applyFill="1" applyBorder="1" applyProtection="1">
      <protection locked="0"/>
    </xf>
    <xf numFmtId="0" fontId="8" fillId="0" borderId="0" xfId="0" applyFont="1" applyFill="1" applyBorder="1" applyAlignment="1" applyProtection="1">
      <alignment horizontal="left"/>
      <protection locked="0"/>
    </xf>
    <xf numFmtId="0" fontId="2" fillId="0" borderId="0" xfId="0" applyFont="1" applyFill="1" applyBorder="1" applyAlignment="1" applyProtection="1">
      <alignment horizontal="right" vertical="center"/>
      <protection locked="0"/>
    </xf>
    <xf numFmtId="164" fontId="3" fillId="0" borderId="0" xfId="0" applyNumberFormat="1" applyFont="1" applyFill="1" applyBorder="1" applyAlignment="1" applyProtection="1">
      <alignment horizontal="center"/>
      <protection locked="0"/>
    </xf>
    <xf numFmtId="9" fontId="2" fillId="0" borderId="0" xfId="1" applyFont="1" applyFill="1" applyBorder="1" applyProtection="1">
      <protection locked="0"/>
    </xf>
    <xf numFmtId="9" fontId="6" fillId="0" borderId="0" xfId="1" applyFont="1" applyFill="1" applyBorder="1" applyAlignment="1" applyProtection="1">
      <alignment vertical="center"/>
      <protection locked="0"/>
    </xf>
    <xf numFmtId="0" fontId="12" fillId="0" borderId="0" xfId="0" applyFont="1" applyFill="1" applyBorder="1" applyAlignment="1" applyProtection="1">
      <alignment horizontal="left" vertical="center"/>
      <protection locked="0"/>
    </xf>
    <xf numFmtId="0" fontId="19" fillId="0" borderId="0" xfId="0" applyFont="1" applyFill="1" applyBorder="1" applyAlignment="1" applyProtection="1">
      <alignment vertical="center"/>
      <protection locked="0"/>
    </xf>
    <xf numFmtId="1" fontId="30" fillId="0" borderId="0" xfId="0" applyNumberFormat="1" applyFont="1" applyFill="1" applyBorder="1" applyAlignment="1" applyProtection="1">
      <alignment horizontal="center" vertical="center"/>
      <protection locked="0"/>
    </xf>
    <xf numFmtId="0" fontId="3" fillId="0" borderId="0" xfId="0" applyFont="1" applyFill="1" applyBorder="1" applyAlignment="1" applyProtection="1">
      <alignment vertical="center"/>
      <protection locked="0"/>
    </xf>
    <xf numFmtId="0" fontId="18" fillId="0" borderId="0" xfId="0" applyFont="1" applyFill="1" applyBorder="1" applyAlignment="1" applyProtection="1">
      <alignment horizontal="left" vertical="center"/>
      <protection locked="0"/>
    </xf>
    <xf numFmtId="10" fontId="2" fillId="0" borderId="0" xfId="0" applyNumberFormat="1" applyFont="1" applyFill="1" applyBorder="1" applyAlignment="1" applyProtection="1">
      <alignment vertical="center"/>
      <protection locked="0"/>
    </xf>
    <xf numFmtId="0" fontId="3" fillId="0" borderId="0" xfId="0" applyFont="1" applyFill="1" applyBorder="1" applyAlignment="1" applyProtection="1">
      <alignment horizontal="right"/>
      <protection locked="0"/>
    </xf>
    <xf numFmtId="2" fontId="30" fillId="0" borderId="0" xfId="0" applyNumberFormat="1" applyFont="1" applyFill="1" applyBorder="1" applyAlignment="1" applyProtection="1">
      <alignment horizontal="center" vertical="center"/>
      <protection locked="0"/>
    </xf>
    <xf numFmtId="166" fontId="2" fillId="0" borderId="0" xfId="0" applyNumberFormat="1" applyFont="1" applyFill="1" applyBorder="1" applyAlignment="1" applyProtection="1">
      <alignment vertical="center"/>
      <protection locked="0"/>
    </xf>
    <xf numFmtId="0" fontId="3" fillId="0" borderId="0" xfId="0" applyFont="1" applyFill="1" applyBorder="1" applyAlignment="1" applyProtection="1">
      <alignment horizontal="right" vertical="center"/>
      <protection locked="0"/>
    </xf>
    <xf numFmtId="164" fontId="2" fillId="0" borderId="0" xfId="0" applyNumberFormat="1" applyFont="1" applyFill="1" applyBorder="1" applyAlignment="1" applyProtection="1">
      <alignment vertical="center"/>
      <protection locked="0"/>
    </xf>
    <xf numFmtId="0" fontId="12"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9" fillId="0" borderId="0" xfId="0" applyNumberFormat="1" applyFont="1" applyFill="1" applyBorder="1" applyAlignment="1" applyProtection="1">
      <alignment vertical="center"/>
      <protection locked="0"/>
    </xf>
    <xf numFmtId="0" fontId="2" fillId="0" borderId="0" xfId="0" quotePrefix="1" applyFont="1" applyFill="1" applyBorder="1" applyProtection="1">
      <protection locked="0"/>
    </xf>
    <xf numFmtId="1" fontId="2" fillId="0" borderId="0" xfId="0" applyNumberFormat="1" applyFont="1" applyFill="1" applyBorder="1" applyAlignment="1" applyProtection="1">
      <alignment horizontal="right" vertical="center"/>
      <protection locked="0"/>
    </xf>
    <xf numFmtId="0" fontId="38" fillId="0" borderId="0" xfId="0" applyFont="1" applyFill="1" applyBorder="1" applyProtection="1">
      <protection locked="0"/>
    </xf>
    <xf numFmtId="164" fontId="2" fillId="0" borderId="0" xfId="0" applyNumberFormat="1" applyFont="1" applyFill="1" applyBorder="1" applyProtection="1">
      <protection locked="0"/>
    </xf>
    <xf numFmtId="0" fontId="38" fillId="0" borderId="0" xfId="0" applyFont="1" applyFill="1" applyBorder="1" applyAlignment="1" applyProtection="1">
      <alignment vertical="center"/>
      <protection locked="0"/>
    </xf>
    <xf numFmtId="0" fontId="9" fillId="0" borderId="0" xfId="0" applyFont="1" applyFill="1" applyBorder="1" applyAlignment="1" applyProtection="1">
      <alignment vertical="center" wrapText="1"/>
      <protection locked="0"/>
    </xf>
    <xf numFmtId="0" fontId="38" fillId="0" borderId="0" xfId="0" applyFont="1" applyFill="1" applyBorder="1" applyAlignment="1" applyProtection="1">
      <alignment horizontal="right"/>
      <protection locked="0"/>
    </xf>
    <xf numFmtId="0" fontId="17" fillId="0" borderId="0" xfId="0" applyFont="1" applyFill="1" applyBorder="1" applyAlignment="1" applyProtection="1">
      <alignment horizontal="left"/>
      <protection locked="0"/>
    </xf>
    <xf numFmtId="0" fontId="45" fillId="0" borderId="0" xfId="0" applyFont="1" applyFill="1" applyBorder="1" applyProtection="1">
      <protection locked="0"/>
    </xf>
    <xf numFmtId="168" fontId="2" fillId="9" borderId="15" xfId="0" applyNumberFormat="1" applyFont="1" applyFill="1" applyBorder="1" applyAlignment="1" applyProtection="1">
      <alignment vertical="center"/>
    </xf>
    <xf numFmtId="168" fontId="2" fillId="9" borderId="15" xfId="0" applyNumberFormat="1" applyFont="1" applyFill="1" applyBorder="1" applyProtection="1"/>
    <xf numFmtId="166" fontId="2" fillId="4" borderId="15" xfId="0" applyNumberFormat="1" applyFont="1" applyFill="1" applyBorder="1" applyAlignment="1" applyProtection="1">
      <alignment vertical="center"/>
    </xf>
    <xf numFmtId="0" fontId="9" fillId="4" borderId="18" xfId="0" applyNumberFormat="1" applyFont="1" applyFill="1" applyBorder="1" applyAlignment="1" applyProtection="1">
      <alignment vertical="center"/>
    </xf>
    <xf numFmtId="0" fontId="2" fillId="4" borderId="15" xfId="0" applyFont="1" applyFill="1" applyBorder="1" applyAlignment="1" applyProtection="1">
      <alignment vertical="center"/>
    </xf>
    <xf numFmtId="164" fontId="2" fillId="4" borderId="15" xfId="0" applyNumberFormat="1" applyFont="1" applyFill="1" applyBorder="1" applyAlignment="1" applyProtection="1">
      <alignment vertical="center"/>
    </xf>
    <xf numFmtId="0" fontId="2" fillId="10" borderId="15" xfId="0" applyNumberFormat="1" applyFont="1" applyFill="1" applyBorder="1" applyProtection="1">
      <protection locked="0"/>
    </xf>
    <xf numFmtId="164" fontId="2" fillId="10" borderId="15" xfId="0" applyNumberFormat="1" applyFont="1" applyFill="1" applyBorder="1" applyProtection="1"/>
    <xf numFmtId="0" fontId="54" fillId="4" borderId="0" xfId="0" applyFont="1" applyFill="1" applyBorder="1" applyAlignment="1" applyProtection="1">
      <alignment horizontal="left" vertical="center" wrapText="1"/>
    </xf>
    <xf numFmtId="0" fontId="53" fillId="4" borderId="0" xfId="0" applyFont="1" applyFill="1" applyBorder="1" applyAlignment="1" applyProtection="1">
      <alignment horizontal="left" vertical="center" wrapText="1"/>
    </xf>
    <xf numFmtId="164" fontId="14" fillId="6" borderId="14" xfId="0" applyNumberFormat="1" applyFont="1" applyFill="1" applyBorder="1" applyAlignment="1" applyProtection="1">
      <alignment vertical="center"/>
    </xf>
    <xf numFmtId="166" fontId="2" fillId="8" borderId="30" xfId="0" applyNumberFormat="1" applyFont="1" applyFill="1" applyBorder="1" applyAlignment="1" applyProtection="1">
      <alignment vertical="center"/>
      <protection locked="0"/>
    </xf>
    <xf numFmtId="169" fontId="2" fillId="6" borderId="30" xfId="0" applyNumberFormat="1" applyFont="1" applyFill="1" applyBorder="1" applyAlignment="1" applyProtection="1"/>
    <xf numFmtId="164" fontId="2" fillId="0" borderId="15" xfId="0" applyNumberFormat="1" applyFont="1" applyFill="1" applyBorder="1" applyAlignment="1" applyProtection="1">
      <alignment vertical="center"/>
    </xf>
    <xf numFmtId="166" fontId="2" fillId="0" borderId="15" xfId="0" applyNumberFormat="1" applyFont="1" applyFill="1" applyBorder="1" applyAlignment="1" applyProtection="1">
      <alignment vertical="center"/>
    </xf>
    <xf numFmtId="0" fontId="2" fillId="10" borderId="38" xfId="0" applyNumberFormat="1" applyFont="1" applyFill="1" applyBorder="1" applyProtection="1">
      <protection locked="0"/>
    </xf>
    <xf numFmtId="164" fontId="2" fillId="10" borderId="22" xfId="0" applyNumberFormat="1" applyFont="1" applyFill="1" applyBorder="1" applyProtection="1"/>
    <xf numFmtId="2" fontId="2" fillId="6" borderId="13" xfId="0" applyNumberFormat="1" applyFont="1" applyFill="1" applyBorder="1" applyAlignment="1" applyProtection="1">
      <alignment horizontal="right" vertical="center"/>
    </xf>
    <xf numFmtId="10" fontId="2" fillId="6" borderId="14" xfId="0" applyNumberFormat="1" applyFont="1" applyFill="1" applyBorder="1" applyAlignment="1" applyProtection="1">
      <alignment vertical="center"/>
    </xf>
    <xf numFmtId="0" fontId="55" fillId="3" borderId="7" xfId="0" applyFont="1" applyFill="1" applyBorder="1" applyAlignment="1" applyProtection="1">
      <alignment horizontal="right" vertical="center"/>
    </xf>
    <xf numFmtId="0" fontId="2" fillId="4" borderId="16" xfId="0" applyFont="1" applyFill="1" applyBorder="1" applyProtection="1"/>
    <xf numFmtId="0" fontId="3" fillId="3" borderId="8" xfId="0" applyFont="1" applyFill="1" applyBorder="1" applyAlignment="1" applyProtection="1">
      <alignment vertical="center"/>
    </xf>
    <xf numFmtId="0" fontId="3" fillId="3" borderId="40" xfId="0" applyFont="1" applyFill="1" applyBorder="1" applyAlignment="1" applyProtection="1">
      <alignment horizontal="center" vertical="center"/>
    </xf>
    <xf numFmtId="0" fontId="2" fillId="4" borderId="41" xfId="0" applyFont="1" applyFill="1" applyBorder="1" applyProtection="1"/>
    <xf numFmtId="1" fontId="9" fillId="6" borderId="13" xfId="0" applyNumberFormat="1" applyFont="1" applyFill="1" applyBorder="1" applyAlignment="1" applyProtection="1">
      <alignment horizontal="right" vertical="center"/>
    </xf>
    <xf numFmtId="0" fontId="18" fillId="3" borderId="20" xfId="0" applyFont="1" applyFill="1" applyBorder="1" applyAlignment="1" applyProtection="1">
      <alignment horizontal="left" vertical="center"/>
    </xf>
    <xf numFmtId="0" fontId="2" fillId="3" borderId="19" xfId="0" applyFont="1" applyFill="1" applyBorder="1" applyAlignment="1" applyProtection="1">
      <alignment vertical="center" wrapText="1"/>
    </xf>
    <xf numFmtId="0" fontId="2" fillId="3" borderId="29" xfId="0" applyFont="1" applyFill="1" applyBorder="1" applyAlignment="1" applyProtection="1">
      <alignment vertical="center"/>
    </xf>
    <xf numFmtId="166" fontId="2" fillId="6" borderId="13" xfId="0" applyNumberFormat="1" applyFont="1" applyFill="1" applyBorder="1" applyAlignment="1" applyProtection="1">
      <alignment vertical="center"/>
    </xf>
    <xf numFmtId="0" fontId="55" fillId="3" borderId="34" xfId="0" applyFont="1" applyFill="1" applyBorder="1" applyAlignment="1" applyProtection="1">
      <alignment horizontal="right" vertical="center"/>
    </xf>
    <xf numFmtId="0" fontId="3" fillId="12" borderId="22" xfId="0" applyFont="1" applyFill="1" applyBorder="1" applyAlignment="1" applyProtection="1">
      <alignment horizontal="left"/>
    </xf>
    <xf numFmtId="164" fontId="2" fillId="12" borderId="14" xfId="0" applyNumberFormat="1" applyFont="1" applyFill="1" applyBorder="1" applyAlignment="1" applyProtection="1">
      <alignment vertical="center"/>
    </xf>
    <xf numFmtId="0" fontId="3" fillId="3" borderId="35" xfId="0" applyFont="1" applyFill="1" applyBorder="1" applyAlignment="1" applyProtection="1">
      <alignment horizontal="left" vertical="center"/>
    </xf>
    <xf numFmtId="0" fontId="3" fillId="3" borderId="37" xfId="0" applyFont="1" applyFill="1" applyBorder="1" applyAlignment="1" applyProtection="1">
      <alignment horizontal="center" vertical="center"/>
    </xf>
    <xf numFmtId="0" fontId="56" fillId="3" borderId="20" xfId="0" applyFont="1" applyFill="1" applyBorder="1" applyAlignment="1" applyProtection="1">
      <alignment horizontal="left" vertical="center"/>
    </xf>
    <xf numFmtId="0" fontId="2" fillId="10" borderId="14" xfId="0" applyNumberFormat="1" applyFont="1" applyFill="1" applyBorder="1" applyAlignment="1" applyProtection="1">
      <alignment vertical="center"/>
      <protection locked="0"/>
    </xf>
    <xf numFmtId="0" fontId="2" fillId="8" borderId="13" xfId="0" applyNumberFormat="1" applyFont="1" applyFill="1" applyBorder="1" applyAlignment="1" applyProtection="1">
      <alignment vertical="center"/>
      <protection locked="0"/>
    </xf>
    <xf numFmtId="0" fontId="3" fillId="4" borderId="42" xfId="0" applyFont="1" applyFill="1" applyBorder="1" applyAlignment="1" applyProtection="1">
      <alignment horizontal="left"/>
    </xf>
    <xf numFmtId="0" fontId="2" fillId="8" borderId="27" xfId="0" applyNumberFormat="1" applyFont="1" applyFill="1" applyBorder="1" applyAlignment="1" applyProtection="1">
      <alignment vertical="center"/>
    </xf>
    <xf numFmtId="164" fontId="31" fillId="12" borderId="14" xfId="0" applyNumberFormat="1" applyFont="1" applyFill="1" applyBorder="1" applyAlignment="1" applyProtection="1">
      <alignment vertical="center"/>
    </xf>
    <xf numFmtId="0" fontId="57" fillId="3" borderId="0" xfId="0" applyFont="1" applyFill="1" applyBorder="1" applyAlignment="1" applyProtection="1">
      <alignment horizontal="left" vertical="center"/>
    </xf>
    <xf numFmtId="0" fontId="31" fillId="3" borderId="2" xfId="0" applyFont="1" applyFill="1" applyBorder="1" applyAlignment="1" applyProtection="1">
      <alignment vertical="center"/>
    </xf>
    <xf numFmtId="0" fontId="31" fillId="4" borderId="0" xfId="0" applyFont="1" applyFill="1" applyAlignment="1" applyProtection="1">
      <alignment vertical="center"/>
    </xf>
    <xf numFmtId="0" fontId="59" fillId="3" borderId="34" xfId="0" applyFont="1" applyFill="1" applyBorder="1" applyAlignment="1" applyProtection="1">
      <alignment horizontal="right" vertical="center"/>
    </xf>
    <xf numFmtId="0" fontId="57" fillId="3" borderId="28" xfId="0" applyFont="1" applyFill="1" applyBorder="1" applyAlignment="1" applyProtection="1">
      <alignment horizontal="left" vertical="center"/>
    </xf>
    <xf numFmtId="0" fontId="31" fillId="3" borderId="29" xfId="0" applyFont="1" applyFill="1" applyBorder="1" applyAlignment="1" applyProtection="1">
      <alignment vertical="center"/>
    </xf>
    <xf numFmtId="0" fontId="3" fillId="3" borderId="21" xfId="0" applyFont="1" applyFill="1" applyBorder="1" applyAlignment="1" applyProtection="1">
      <alignment vertical="center"/>
      <protection locked="0"/>
    </xf>
    <xf numFmtId="0" fontId="3" fillId="3" borderId="20" xfId="0" applyFont="1" applyFill="1" applyBorder="1" applyAlignment="1" applyProtection="1">
      <alignment horizontal="left" vertical="center"/>
      <protection locked="0"/>
    </xf>
    <xf numFmtId="0" fontId="3" fillId="3" borderId="35" xfId="0" applyFont="1" applyFill="1" applyBorder="1" applyAlignment="1" applyProtection="1">
      <alignment horizontal="left" vertical="center"/>
      <protection locked="0"/>
    </xf>
    <xf numFmtId="0" fontId="2" fillId="3" borderId="19" xfId="0" applyFont="1" applyFill="1" applyBorder="1" applyAlignment="1" applyProtection="1">
      <alignment vertical="center"/>
      <protection locked="0"/>
    </xf>
    <xf numFmtId="0" fontId="2" fillId="4" borderId="0" xfId="0" applyFont="1" applyFill="1" applyAlignment="1" applyProtection="1">
      <alignment vertical="center"/>
      <protection locked="0"/>
    </xf>
    <xf numFmtId="0" fontId="19" fillId="3" borderId="18" xfId="0" applyFont="1" applyFill="1" applyBorder="1" applyAlignment="1" applyProtection="1">
      <alignment vertical="center"/>
    </xf>
    <xf numFmtId="0" fontId="2" fillId="10" borderId="27" xfId="0" applyNumberFormat="1" applyFont="1" applyFill="1" applyBorder="1" applyAlignment="1" applyProtection="1">
      <alignment vertical="center"/>
      <protection locked="0"/>
    </xf>
    <xf numFmtId="0" fontId="3" fillId="3" borderId="8" xfId="0" applyFont="1" applyFill="1" applyBorder="1" applyAlignment="1" applyProtection="1">
      <alignment horizontal="left" vertical="center"/>
    </xf>
    <xf numFmtId="0" fontId="30" fillId="3" borderId="40" xfId="0" applyFont="1" applyFill="1" applyBorder="1" applyAlignment="1" applyProtection="1">
      <alignment horizontal="center" vertical="center"/>
    </xf>
    <xf numFmtId="1" fontId="9" fillId="6" borderId="22" xfId="0" applyNumberFormat="1" applyFont="1" applyFill="1" applyBorder="1" applyAlignment="1" applyProtection="1">
      <alignment horizontal="right"/>
    </xf>
    <xf numFmtId="166" fontId="2" fillId="6" borderId="15" xfId="0" applyNumberFormat="1" applyFont="1" applyFill="1" applyBorder="1" applyAlignment="1" applyProtection="1">
      <alignment horizontal="right"/>
    </xf>
    <xf numFmtId="166" fontId="2" fillId="6" borderId="40" xfId="0" applyNumberFormat="1" applyFont="1" applyFill="1" applyBorder="1" applyAlignment="1" applyProtection="1">
      <alignment horizontal="right"/>
    </xf>
    <xf numFmtId="0" fontId="2" fillId="3" borderId="7" xfId="0" applyFont="1" applyFill="1" applyBorder="1" applyAlignment="1" applyProtection="1">
      <alignment vertical="center"/>
    </xf>
    <xf numFmtId="0" fontId="2" fillId="3" borderId="18" xfId="0" applyFont="1" applyFill="1" applyBorder="1" applyAlignment="1" applyProtection="1">
      <alignment vertical="center"/>
    </xf>
    <xf numFmtId="0" fontId="2" fillId="3" borderId="0" xfId="0" applyFont="1" applyFill="1" applyBorder="1" applyAlignment="1" applyProtection="1">
      <alignment horizontal="left" vertical="center"/>
    </xf>
    <xf numFmtId="0" fontId="17" fillId="3" borderId="0" xfId="0" applyFont="1" applyFill="1" applyBorder="1" applyAlignment="1" applyProtection="1">
      <alignment horizontal="left" vertical="center"/>
    </xf>
    <xf numFmtId="0" fontId="17" fillId="3" borderId="43" xfId="0" applyFont="1" applyFill="1" applyBorder="1" applyAlignment="1" applyProtection="1">
      <alignment horizontal="left" vertical="center"/>
    </xf>
    <xf numFmtId="49" fontId="2" fillId="12" borderId="15" xfId="0" applyNumberFormat="1" applyFont="1" applyFill="1" applyBorder="1" applyAlignment="1" applyProtection="1">
      <alignment horizontal="right" vertical="center"/>
      <protection locked="0"/>
    </xf>
    <xf numFmtId="49" fontId="2" fillId="12" borderId="14" xfId="0" applyNumberFormat="1" applyFont="1" applyFill="1" applyBorder="1" applyAlignment="1" applyProtection="1">
      <alignment horizontal="right" vertical="center"/>
      <protection locked="0"/>
    </xf>
    <xf numFmtId="1" fontId="57" fillId="3" borderId="36" xfId="0" applyNumberFormat="1" applyFont="1" applyFill="1" applyBorder="1" applyAlignment="1" applyProtection="1">
      <alignment horizontal="left" vertical="center"/>
    </xf>
    <xf numFmtId="0" fontId="57" fillId="3" borderId="40" xfId="0" applyFont="1" applyFill="1" applyBorder="1" applyAlignment="1" applyProtection="1">
      <alignment horizontal="left" vertical="center"/>
    </xf>
    <xf numFmtId="0" fontId="2" fillId="3" borderId="7" xfId="0" applyFont="1" applyFill="1" applyBorder="1" applyAlignment="1" applyProtection="1">
      <alignment horizontal="left" vertical="center"/>
    </xf>
    <xf numFmtId="0" fontId="2" fillId="3" borderId="7" xfId="0" applyFont="1" applyFill="1" applyBorder="1" applyProtection="1"/>
    <xf numFmtId="0" fontId="2" fillId="4" borderId="42" xfId="0" applyFont="1" applyFill="1" applyBorder="1" applyAlignment="1" applyProtection="1">
      <alignment horizontal="left"/>
    </xf>
    <xf numFmtId="0" fontId="2" fillId="3" borderId="20" xfId="0" applyFont="1" applyFill="1" applyBorder="1" applyAlignment="1" applyProtection="1">
      <alignment horizontal="left" vertical="center"/>
      <protection locked="0"/>
    </xf>
    <xf numFmtId="0" fontId="2" fillId="3" borderId="8" xfId="0" applyFont="1" applyFill="1" applyBorder="1" applyAlignment="1" applyProtection="1">
      <alignment horizontal="left" vertical="center"/>
    </xf>
    <xf numFmtId="0" fontId="5" fillId="2" borderId="0" xfId="0" applyFont="1" applyFill="1" applyAlignment="1">
      <alignment vertical="center"/>
    </xf>
    <xf numFmtId="2" fontId="31" fillId="12" borderId="15" xfId="0" applyNumberFormat="1" applyFont="1" applyFill="1" applyBorder="1" applyAlignment="1" applyProtection="1">
      <alignment vertical="center"/>
    </xf>
    <xf numFmtId="0" fontId="61" fillId="3" borderId="38" xfId="0" applyFont="1" applyFill="1" applyBorder="1" applyAlignment="1" applyProtection="1">
      <alignment horizontal="left" vertical="center"/>
    </xf>
    <xf numFmtId="1" fontId="62" fillId="3" borderId="36" xfId="0" applyNumberFormat="1" applyFont="1" applyFill="1" applyBorder="1" applyAlignment="1" applyProtection="1">
      <alignment horizontal="center" vertical="center"/>
    </xf>
    <xf numFmtId="0" fontId="63" fillId="3" borderId="36" xfId="0" applyFont="1" applyFill="1" applyBorder="1" applyAlignment="1" applyProtection="1">
      <alignment horizontal="left" vertical="center"/>
    </xf>
    <xf numFmtId="0" fontId="63" fillId="4" borderId="35" xfId="0" applyFont="1" applyFill="1" applyBorder="1" applyAlignment="1" applyProtection="1">
      <alignment horizontal="left"/>
    </xf>
    <xf numFmtId="0" fontId="63" fillId="3" borderId="35" xfId="0" applyFont="1" applyFill="1" applyBorder="1" applyAlignment="1" applyProtection="1">
      <alignment horizontal="left" vertical="center"/>
      <protection locked="0"/>
    </xf>
    <xf numFmtId="0" fontId="62" fillId="3" borderId="36" xfId="0" applyFont="1" applyFill="1" applyBorder="1" applyAlignment="1" applyProtection="1">
      <alignment horizontal="center" vertical="center"/>
    </xf>
    <xf numFmtId="49" fontId="62" fillId="3" borderId="36" xfId="0" applyNumberFormat="1" applyFont="1" applyFill="1" applyBorder="1" applyAlignment="1" applyProtection="1">
      <alignment horizontal="center" vertical="center"/>
    </xf>
    <xf numFmtId="0" fontId="64" fillId="3" borderId="36" xfId="0" applyFont="1" applyFill="1" applyBorder="1" applyAlignment="1" applyProtection="1">
      <alignment horizontal="left" vertical="center"/>
    </xf>
    <xf numFmtId="0" fontId="63" fillId="3" borderId="40" xfId="0" applyFont="1" applyFill="1" applyBorder="1" applyAlignment="1" applyProtection="1">
      <alignment horizontal="center" vertical="center"/>
    </xf>
    <xf numFmtId="0" fontId="63" fillId="4" borderId="0" xfId="0" applyFont="1" applyFill="1" applyBorder="1" applyAlignment="1" applyProtection="1">
      <alignment horizontal="left"/>
    </xf>
    <xf numFmtId="0" fontId="63" fillId="3" borderId="35" xfId="0" applyFont="1" applyFill="1" applyBorder="1" applyAlignment="1" applyProtection="1">
      <alignment horizontal="left" vertical="center"/>
    </xf>
    <xf numFmtId="0" fontId="63" fillId="3" borderId="37" xfId="0" applyFont="1" applyFill="1" applyBorder="1" applyAlignment="1" applyProtection="1">
      <alignment horizontal="left" vertical="center"/>
    </xf>
    <xf numFmtId="0" fontId="61" fillId="3" borderId="36" xfId="0" applyFont="1" applyFill="1" applyBorder="1" applyAlignment="1" applyProtection="1">
      <alignment horizontal="center" vertical="center"/>
    </xf>
    <xf numFmtId="0" fontId="61" fillId="3" borderId="37" xfId="0" applyFont="1" applyFill="1" applyBorder="1" applyAlignment="1" applyProtection="1">
      <alignment horizontal="center" vertical="center"/>
    </xf>
    <xf numFmtId="0" fontId="65" fillId="3" borderId="37" xfId="0" applyFont="1" applyFill="1" applyBorder="1" applyAlignment="1" applyProtection="1">
      <alignment horizontal="center" vertical="center"/>
    </xf>
    <xf numFmtId="0" fontId="31" fillId="10" borderId="15" xfId="0" applyNumberFormat="1" applyFont="1" applyFill="1" applyBorder="1" applyAlignment="1" applyProtection="1">
      <alignment vertical="center"/>
      <protection locked="0"/>
    </xf>
    <xf numFmtId="0" fontId="5" fillId="2" borderId="0" xfId="0" applyFont="1" applyFill="1" applyAlignment="1">
      <alignment horizontal="left" vertical="center" wrapText="1"/>
    </xf>
    <xf numFmtId="0" fontId="54" fillId="4" borderId="0" xfId="0" applyFont="1" applyFill="1" applyBorder="1" applyAlignment="1" applyProtection="1">
      <alignment horizontal="left" vertical="center" wrapText="1"/>
    </xf>
    <xf numFmtId="0" fontId="53" fillId="4" borderId="0" xfId="0" applyFont="1" applyFill="1" applyBorder="1" applyAlignment="1" applyProtection="1">
      <alignment horizontal="left" vertical="center" wrapText="1"/>
    </xf>
    <xf numFmtId="9" fontId="6" fillId="7" borderId="9" xfId="1" applyFont="1" applyFill="1" applyBorder="1" applyAlignment="1" applyProtection="1">
      <alignment horizontal="left" vertical="center"/>
    </xf>
    <xf numFmtId="9" fontId="6" fillId="7" borderId="41" xfId="1" applyFont="1" applyFill="1" applyBorder="1" applyAlignment="1" applyProtection="1">
      <alignment horizontal="left" vertical="center"/>
    </xf>
    <xf numFmtId="9" fontId="6" fillId="7" borderId="10" xfId="1" applyFont="1" applyFill="1" applyBorder="1" applyAlignment="1" applyProtection="1">
      <alignment horizontal="left" vertical="center"/>
    </xf>
    <xf numFmtId="170" fontId="2" fillId="6" borderId="15" xfId="0" applyNumberFormat="1" applyFont="1" applyFill="1" applyBorder="1" applyAlignment="1" applyProtection="1">
      <alignment vertical="center"/>
    </xf>
    <xf numFmtId="171" fontId="2" fillId="6" borderId="15" xfId="0" applyNumberFormat="1" applyFont="1" applyFill="1" applyBorder="1" applyAlignment="1" applyProtection="1">
      <alignment vertical="center"/>
    </xf>
    <xf numFmtId="166" fontId="2" fillId="4" borderId="0" xfId="0" applyNumberFormat="1" applyFont="1" applyFill="1" applyAlignment="1" applyProtection="1">
      <alignment vertical="center"/>
    </xf>
    <xf numFmtId="173" fontId="2" fillId="6" borderId="15" xfId="0" applyNumberFormat="1" applyFont="1" applyFill="1" applyBorder="1" applyAlignment="1" applyProtection="1">
      <alignment vertical="center"/>
    </xf>
  </cellXfs>
  <cellStyles count="2">
    <cellStyle name="Prozent" xfId="1" builtinId="5"/>
    <cellStyle name="Stand." xfId="0" builtinId="0"/>
  </cellStyles>
  <dxfs count="6">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s>
  <tableStyles count="0" defaultTableStyle="TableStyleMedium9" defaultPivotStyle="PivotStyleLight16"/>
  <colors>
    <mruColors>
      <color rgb="FF99CCFF"/>
      <color rgb="FFFFCC66"/>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Radio" firstButton="1" fmlaLink="$E$9" noThreeD="1"/>
</file>

<file path=xl/ctrlProps/ctrlProp3.xml><?xml version="1.0" encoding="utf-8"?>
<formControlPr xmlns="http://schemas.microsoft.com/office/spreadsheetml/2009/9/main" objectType="Radio"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25400</xdr:colOff>
          <xdr:row>6</xdr:row>
          <xdr:rowOff>254000</xdr:rowOff>
        </xdr:from>
        <xdr:to>
          <xdr:col>5</xdr:col>
          <xdr:colOff>4737100</xdr:colOff>
          <xdr:row>9</xdr:row>
          <xdr:rowOff>228600</xdr:rowOff>
        </xdr:to>
        <xdr:sp macro="" textlink="">
          <xdr:nvSpPr>
            <xdr:cNvPr id="5121" name="Group Box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xdr:row>
          <xdr:rowOff>76200</xdr:rowOff>
        </xdr:from>
        <xdr:to>
          <xdr:col>3</xdr:col>
          <xdr:colOff>381000</xdr:colOff>
          <xdr:row>8</xdr:row>
          <xdr:rowOff>63500</xdr:rowOff>
        </xdr:to>
        <xdr:sp macro="" textlink="">
          <xdr:nvSpPr>
            <xdr:cNvPr id="5122" name="Option Button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de-DE" sz="800" b="0" i="0" u="none" strike="noStrike" baseline="0">
                  <a:solidFill>
                    <a:srgbClr val="000000"/>
                  </a:solidFill>
                  <a:latin typeface="Tahoma"/>
                  <a:ea typeface="Tahoma"/>
                  <a:cs typeface="Tahoma"/>
                </a:rPr>
                <a:t>Method 1 : Cp is defined, R1 is fixed and we want 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8</xdr:row>
          <xdr:rowOff>63500</xdr:rowOff>
        </xdr:from>
        <xdr:to>
          <xdr:col>4</xdr:col>
          <xdr:colOff>330200</xdr:colOff>
          <xdr:row>9</xdr:row>
          <xdr:rowOff>76200</xdr:rowOff>
        </xdr:to>
        <xdr:sp macro="" textlink="">
          <xdr:nvSpPr>
            <xdr:cNvPr id="5123" name="Option Button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0000">
                      <a:alpha val="48000"/>
                    </a:srgbClr>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de-DE" sz="800" b="0" i="0" u="none" strike="noStrike" baseline="0">
                  <a:solidFill>
                    <a:srgbClr val="000000"/>
                  </a:solidFill>
                  <a:latin typeface="Tahoma"/>
                  <a:ea typeface="Tahoma"/>
                  <a:cs typeface="Tahoma"/>
                </a:rPr>
                <a:t>Method 2 : Cp is defined, Ks is fixed and we want R1</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2.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I6"/>
  <sheetViews>
    <sheetView workbookViewId="0">
      <selection activeCell="A7" sqref="A7"/>
    </sheetView>
  </sheetViews>
  <sheetFormatPr baseColWidth="10" defaultColWidth="8.83203125" defaultRowHeight="15" x14ac:dyDescent="0.2"/>
  <cols>
    <col min="1" max="8" width="8.83203125" style="3"/>
    <col min="9" max="9" width="16.1640625" style="3" customWidth="1"/>
    <col min="10" max="16384" width="8.83203125" style="3"/>
  </cols>
  <sheetData>
    <row r="2" spans="2:9" ht="16" thickBot="1" x14ac:dyDescent="0.25">
      <c r="B2" s="1" t="s">
        <v>3</v>
      </c>
      <c r="C2" s="2"/>
      <c r="D2" s="2"/>
      <c r="E2" s="2"/>
      <c r="F2" s="2"/>
      <c r="G2" s="2"/>
      <c r="H2" s="2"/>
      <c r="I2" s="2"/>
    </row>
    <row r="3" spans="2:9" ht="8.25" customHeight="1" x14ac:dyDescent="0.2"/>
    <row r="4" spans="2:9" s="328" customFormat="1" ht="54.75" customHeight="1" x14ac:dyDescent="0.15">
      <c r="B4" s="346" t="s">
        <v>195</v>
      </c>
      <c r="C4" s="346"/>
      <c r="D4" s="346"/>
      <c r="E4" s="346"/>
      <c r="F4" s="346"/>
      <c r="G4" s="346"/>
      <c r="H4" s="346"/>
      <c r="I4" s="346"/>
    </row>
    <row r="5" spans="2:9" s="328" customFormat="1" ht="21.75" customHeight="1" x14ac:dyDescent="0.15">
      <c r="B5" s="328" t="s">
        <v>193</v>
      </c>
    </row>
    <row r="6" spans="2:9" s="328" customFormat="1" ht="23.25" customHeight="1" x14ac:dyDescent="0.15">
      <c r="B6" s="328" t="s">
        <v>194</v>
      </c>
    </row>
  </sheetData>
  <mergeCells count="1">
    <mergeCell ref="B4:I4"/>
  </mergeCells>
  <phoneticPr fontId="1"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1:M152"/>
  <sheetViews>
    <sheetView topLeftCell="A7" zoomScale="85" zoomScaleNormal="85" zoomScalePageLayoutView="85" workbookViewId="0">
      <selection activeCell="A93" sqref="A93:XFD152"/>
    </sheetView>
  </sheetViews>
  <sheetFormatPr baseColWidth="10" defaultColWidth="8.83203125" defaultRowHeight="13" x14ac:dyDescent="0.15"/>
  <cols>
    <col min="1" max="1" width="2.6640625" style="23" customWidth="1"/>
    <col min="2" max="2" width="31.5" style="23" customWidth="1"/>
    <col min="3" max="3" width="13.6640625" style="23" customWidth="1"/>
    <col min="4" max="4" width="6.33203125" style="23" customWidth="1"/>
    <col min="5" max="5" width="11.5" style="23" customWidth="1"/>
    <col min="6" max="6" width="76" style="23" customWidth="1"/>
    <col min="7" max="7" width="2.6640625" style="23" customWidth="1"/>
    <col min="8" max="8" width="32.5" style="23" customWidth="1"/>
    <col min="9" max="9" width="17.1640625" style="23" bestFit="1" customWidth="1"/>
    <col min="10" max="10" width="6.1640625" style="23" customWidth="1"/>
    <col min="11" max="11" width="11.33203125" style="23" customWidth="1"/>
    <col min="12" max="12" width="67" style="23" customWidth="1"/>
    <col min="13" max="13" width="2.6640625" style="23" customWidth="1"/>
    <col min="14" max="16384" width="8.83203125" style="23"/>
  </cols>
  <sheetData>
    <row r="1" spans="2:12" ht="9" customHeight="1" x14ac:dyDescent="0.15"/>
    <row r="2" spans="2:12" ht="16.5" customHeight="1" x14ac:dyDescent="0.15">
      <c r="B2" s="44"/>
      <c r="C2" s="44"/>
      <c r="D2" s="43"/>
      <c r="E2" s="27"/>
      <c r="F2" s="141" t="s">
        <v>101</v>
      </c>
      <c r="H2" s="44"/>
      <c r="I2" s="44"/>
      <c r="J2" s="43"/>
      <c r="K2" s="44"/>
      <c r="L2" s="44"/>
    </row>
    <row r="3" spans="2:12" ht="15.75" customHeight="1" x14ac:dyDescent="0.15">
      <c r="B3" s="44"/>
      <c r="C3" s="44"/>
      <c r="D3" s="43"/>
      <c r="E3" s="28"/>
      <c r="F3" s="141" t="s">
        <v>132</v>
      </c>
      <c r="H3" s="44"/>
      <c r="I3" s="44"/>
      <c r="J3" s="43"/>
      <c r="K3" s="44"/>
      <c r="L3" s="44"/>
    </row>
    <row r="4" spans="2:12" ht="15" customHeight="1" x14ac:dyDescent="0.15">
      <c r="B4" s="44"/>
      <c r="C4" s="44"/>
      <c r="D4" s="43"/>
      <c r="E4" s="30"/>
      <c r="F4" s="44" t="s">
        <v>171</v>
      </c>
      <c r="H4" s="44"/>
      <c r="I4" s="44"/>
      <c r="J4" s="43"/>
      <c r="K4" s="44"/>
      <c r="L4" s="44"/>
    </row>
    <row r="5" spans="2:12" ht="15" customHeight="1" x14ac:dyDescent="0.15">
      <c r="B5" s="44"/>
      <c r="C5" s="44"/>
      <c r="D5" s="43"/>
      <c r="E5" s="29"/>
      <c r="F5" s="44" t="s">
        <v>103</v>
      </c>
      <c r="H5" s="44"/>
      <c r="I5" s="44"/>
      <c r="J5" s="43"/>
      <c r="K5" s="44"/>
      <c r="L5" s="44"/>
    </row>
    <row r="6" spans="2:12" ht="7.5" customHeight="1" x14ac:dyDescent="0.15">
      <c r="B6" s="44"/>
      <c r="C6" s="44"/>
      <c r="D6" s="43"/>
      <c r="E6" s="43"/>
      <c r="F6" s="44"/>
      <c r="H6" s="44"/>
      <c r="I6" s="44"/>
      <c r="J6" s="43"/>
      <c r="K6" s="43"/>
      <c r="L6" s="44"/>
    </row>
    <row r="7" spans="2:12" s="25" customFormat="1" ht="21" customHeight="1" x14ac:dyDescent="0.15">
      <c r="B7" s="211" t="s">
        <v>168</v>
      </c>
      <c r="C7" s="80"/>
      <c r="D7" s="150"/>
      <c r="E7" s="150"/>
      <c r="F7" s="80"/>
    </row>
    <row r="8" spans="2:12" ht="18.75" customHeight="1" x14ac:dyDescent="0.15">
      <c r="B8" s="44"/>
      <c r="C8" s="44"/>
      <c r="D8" s="43"/>
      <c r="E8" s="43"/>
      <c r="F8" s="44"/>
    </row>
    <row r="9" spans="2:12" ht="18.75" customHeight="1" x14ac:dyDescent="0.15">
      <c r="B9" s="44"/>
      <c r="C9" s="44"/>
      <c r="D9" s="43"/>
      <c r="E9" s="202">
        <v>2</v>
      </c>
      <c r="F9" s="44"/>
    </row>
    <row r="10" spans="2:12" ht="18.75" customHeight="1" x14ac:dyDescent="0.15">
      <c r="B10" s="44"/>
      <c r="C10" s="44"/>
      <c r="D10" s="43"/>
      <c r="E10" s="43"/>
      <c r="F10" s="44"/>
    </row>
    <row r="11" spans="2:12" s="214" customFormat="1" ht="6" customHeight="1" x14ac:dyDescent="0.15">
      <c r="B11" s="212"/>
      <c r="C11" s="212"/>
      <c r="D11" s="213"/>
      <c r="E11" s="213"/>
      <c r="F11" s="212"/>
    </row>
    <row r="12" spans="2:12" s="25" customFormat="1" ht="135.75" customHeight="1" x14ac:dyDescent="0.15">
      <c r="B12" s="348" t="s">
        <v>169</v>
      </c>
      <c r="C12" s="348"/>
      <c r="D12" s="348"/>
      <c r="E12" s="348"/>
      <c r="F12" s="348"/>
    </row>
    <row r="13" spans="2:12" s="25" customFormat="1" ht="54.75" customHeight="1" x14ac:dyDescent="0.15">
      <c r="B13" s="347" t="s">
        <v>170</v>
      </c>
      <c r="C13" s="348"/>
      <c r="D13" s="348"/>
      <c r="E13" s="348"/>
      <c r="F13" s="348"/>
    </row>
    <row r="14" spans="2:12" s="25" customFormat="1" ht="11.25" customHeight="1" thickBot="1" x14ac:dyDescent="0.2">
      <c r="B14" s="264"/>
      <c r="C14" s="265"/>
      <c r="D14" s="265"/>
      <c r="E14" s="265"/>
      <c r="F14" s="265"/>
    </row>
    <row r="15" spans="2:12" s="214" customFormat="1" ht="24" customHeight="1" thickBot="1" x14ac:dyDescent="0.2">
      <c r="B15" s="142" t="s">
        <v>97</v>
      </c>
      <c r="C15" s="48"/>
      <c r="D15" s="143"/>
      <c r="E15" s="144"/>
      <c r="F15" s="145"/>
      <c r="G15" s="206"/>
      <c r="H15" s="215"/>
      <c r="I15" s="216"/>
      <c r="J15" s="217"/>
      <c r="K15" s="218"/>
      <c r="L15" s="218"/>
    </row>
    <row r="16" spans="2:12" s="204" customFormat="1" ht="20.25" customHeight="1" thickBot="1" x14ac:dyDescent="0.2">
      <c r="B16" s="146" t="s">
        <v>98</v>
      </c>
      <c r="C16" s="25"/>
      <c r="D16" s="147"/>
      <c r="E16" s="148"/>
      <c r="F16" s="149"/>
      <c r="H16" s="219"/>
      <c r="J16" s="217"/>
      <c r="K16" s="218"/>
      <c r="L16" s="218"/>
    </row>
    <row r="17" spans="2:12" s="206" customFormat="1" ht="14.25" customHeight="1" thickBot="1" x14ac:dyDescent="0.2">
      <c r="B17" s="103" t="s">
        <v>94</v>
      </c>
      <c r="C17" s="152">
        <v>64000</v>
      </c>
      <c r="D17" s="150" t="s">
        <v>28</v>
      </c>
      <c r="E17" s="43"/>
      <c r="F17" s="151"/>
      <c r="I17" s="203"/>
      <c r="J17" s="220"/>
      <c r="K17" s="221"/>
      <c r="L17" s="222"/>
    </row>
    <row r="18" spans="2:12" s="206" customFormat="1" ht="14.25" customHeight="1" thickBot="1" x14ac:dyDescent="0.2">
      <c r="B18" s="103" t="s">
        <v>99</v>
      </c>
      <c r="C18" s="267">
        <v>0.3</v>
      </c>
      <c r="D18" s="150" t="s">
        <v>9</v>
      </c>
      <c r="E18" s="43"/>
      <c r="F18" s="151"/>
      <c r="I18" s="204"/>
      <c r="J18" s="220"/>
      <c r="K18" s="221"/>
      <c r="L18" s="222"/>
    </row>
    <row r="19" spans="2:12" s="206" customFormat="1" ht="14" thickBot="1" x14ac:dyDescent="0.2">
      <c r="B19" s="153" t="s">
        <v>100</v>
      </c>
      <c r="C19" s="156">
        <f>C34*(((1800*C18*C26*C39*C27*C28*C25)/(C24^2*C17)*(1000*1000)/C43)-1)</f>
        <v>526644.8681640625</v>
      </c>
      <c r="D19" s="154" t="s">
        <v>7</v>
      </c>
      <c r="E19" s="82"/>
      <c r="F19" s="157" t="s">
        <v>161</v>
      </c>
      <c r="I19" s="223"/>
      <c r="J19" s="221"/>
    </row>
    <row r="20" spans="2:12" s="206" customFormat="1" ht="14.25" customHeight="1" thickBot="1" x14ac:dyDescent="0.2">
      <c r="B20" s="81"/>
      <c r="C20" s="43"/>
      <c r="D20" s="43"/>
      <c r="E20" s="43"/>
      <c r="F20" s="82"/>
      <c r="H20" s="224"/>
      <c r="I20" s="221"/>
      <c r="J20" s="221"/>
      <c r="K20" s="221"/>
    </row>
    <row r="21" spans="2:12" s="206" customFormat="1" ht="13.5" customHeight="1" thickBot="1" x14ac:dyDescent="0.2">
      <c r="B21" s="31" t="s">
        <v>83</v>
      </c>
      <c r="C21" s="32"/>
      <c r="D21" s="158"/>
      <c r="E21" s="159"/>
      <c r="F21" s="160"/>
      <c r="H21" s="225"/>
      <c r="I21" s="226"/>
      <c r="J21" s="220"/>
      <c r="K21" s="204"/>
      <c r="L21" s="204"/>
    </row>
    <row r="22" spans="2:12" s="206" customFormat="1" ht="14" thickBot="1" x14ac:dyDescent="0.2">
      <c r="B22" s="128" t="s">
        <v>14</v>
      </c>
      <c r="C22" s="4" t="s">
        <v>18</v>
      </c>
      <c r="D22" s="43"/>
      <c r="E22" s="161"/>
      <c r="F22" s="46"/>
      <c r="H22" s="227"/>
      <c r="I22" s="205"/>
      <c r="J22" s="221"/>
      <c r="K22" s="228"/>
    </row>
    <row r="23" spans="2:12" s="206" customFormat="1" ht="14" thickBot="1" x14ac:dyDescent="0.2">
      <c r="B23" s="128"/>
      <c r="C23" s="43"/>
      <c r="D23" s="43"/>
      <c r="E23" s="161"/>
      <c r="F23" s="46"/>
      <c r="H23" s="227"/>
      <c r="I23" s="221"/>
      <c r="J23" s="221"/>
      <c r="K23" s="228"/>
    </row>
    <row r="24" spans="2:12" s="206" customFormat="1" ht="12.75" customHeight="1" x14ac:dyDescent="0.15">
      <c r="B24" s="128" t="s">
        <v>11</v>
      </c>
      <c r="C24" s="8">
        <v>1200</v>
      </c>
      <c r="D24" s="43" t="s">
        <v>16</v>
      </c>
      <c r="E24" s="43"/>
      <c r="F24" s="46" t="s">
        <v>1</v>
      </c>
      <c r="H24" s="227"/>
      <c r="J24" s="221"/>
      <c r="K24" s="221"/>
    </row>
    <row r="25" spans="2:12" s="206" customFormat="1" ht="12.75" customHeight="1" x14ac:dyDescent="0.15">
      <c r="B25" s="128" t="s">
        <v>35</v>
      </c>
      <c r="C25" s="9">
        <v>7812.5</v>
      </c>
      <c r="D25" s="43" t="s">
        <v>12</v>
      </c>
      <c r="E25" s="43"/>
      <c r="F25" s="46" t="s">
        <v>29</v>
      </c>
      <c r="H25" s="227"/>
      <c r="J25" s="221"/>
      <c r="K25" s="221"/>
    </row>
    <row r="26" spans="2:12" s="206" customFormat="1" ht="12.75" customHeight="1" x14ac:dyDescent="0.15">
      <c r="B26" s="128" t="s">
        <v>2</v>
      </c>
      <c r="C26" s="9">
        <v>2</v>
      </c>
      <c r="D26" s="43"/>
      <c r="E26" s="43"/>
      <c r="F26" s="46" t="s">
        <v>85</v>
      </c>
      <c r="H26" s="227"/>
      <c r="J26" s="221"/>
      <c r="K26" s="221"/>
    </row>
    <row r="27" spans="2:12" s="204" customFormat="1" ht="12.75" customHeight="1" x14ac:dyDescent="0.2">
      <c r="B27" s="128" t="s">
        <v>139</v>
      </c>
      <c r="C27" s="18">
        <v>0.875</v>
      </c>
      <c r="D27" s="43"/>
      <c r="E27" s="43"/>
      <c r="F27" s="46" t="s">
        <v>160</v>
      </c>
      <c r="H27" s="236"/>
      <c r="I27" s="241"/>
      <c r="J27" s="245"/>
      <c r="K27" s="208"/>
    </row>
    <row r="28" spans="2:12" s="204" customFormat="1" ht="12.75" customHeight="1" x14ac:dyDescent="0.2">
      <c r="B28" s="128" t="s">
        <v>140</v>
      </c>
      <c r="C28" s="18">
        <v>0.875</v>
      </c>
      <c r="D28" s="43"/>
      <c r="E28" s="43"/>
      <c r="F28" s="46" t="s">
        <v>160</v>
      </c>
      <c r="H28" s="236"/>
      <c r="I28" s="241"/>
      <c r="J28" s="245"/>
      <c r="K28" s="208"/>
    </row>
    <row r="29" spans="2:12" s="206" customFormat="1" ht="12.75" customHeight="1" thickBot="1" x14ac:dyDescent="0.25">
      <c r="B29" s="162" t="s">
        <v>135</v>
      </c>
      <c r="C29" s="19">
        <v>1</v>
      </c>
      <c r="D29" s="154"/>
      <c r="E29" s="154"/>
      <c r="F29" s="157" t="s">
        <v>84</v>
      </c>
      <c r="H29" s="227"/>
      <c r="J29" s="221"/>
      <c r="K29" s="221"/>
    </row>
    <row r="30" spans="2:12" s="206" customFormat="1" ht="15.75" customHeight="1" thickBot="1" x14ac:dyDescent="0.2">
      <c r="B30" s="163"/>
      <c r="C30" s="164"/>
      <c r="D30" s="23"/>
      <c r="E30" s="23"/>
      <c r="F30" s="23"/>
      <c r="H30" s="229"/>
      <c r="I30" s="230"/>
    </row>
    <row r="31" spans="2:12" s="231" customFormat="1" ht="13.5" customHeight="1" thickBot="1" x14ac:dyDescent="0.2">
      <c r="B31" s="47" t="s">
        <v>86</v>
      </c>
      <c r="C31" s="48"/>
      <c r="D31" s="49"/>
      <c r="E31" s="50" t="s">
        <v>88</v>
      </c>
      <c r="F31" s="51"/>
      <c r="H31" s="232"/>
      <c r="I31" s="216"/>
      <c r="J31" s="217"/>
      <c r="K31" s="233"/>
      <c r="L31" s="218"/>
    </row>
    <row r="32" spans="2:12" s="204" customFormat="1" ht="14.25" customHeight="1" x14ac:dyDescent="0.15">
      <c r="B32" s="53" t="s">
        <v>53</v>
      </c>
      <c r="C32" s="5">
        <v>230</v>
      </c>
      <c r="D32" s="54" t="s">
        <v>4</v>
      </c>
      <c r="E32" s="55" t="str">
        <f>"0x"&amp;DEC2HEX(C32*2^0.5*$C$104*$C$107*2^15/($C$102/1000*(1+C33/C34)))</f>
        <v>0x3DDF</v>
      </c>
      <c r="F32" s="56" t="s">
        <v>19</v>
      </c>
      <c r="H32" s="234"/>
      <c r="I32" s="207"/>
      <c r="J32" s="220"/>
      <c r="K32" s="235"/>
    </row>
    <row r="33" spans="2:12" s="204" customFormat="1" ht="14.25" customHeight="1" x14ac:dyDescent="0.15">
      <c r="B33" s="57" t="s">
        <v>134</v>
      </c>
      <c r="C33" s="13">
        <f>C19</f>
        <v>526644.8681640625</v>
      </c>
      <c r="D33" s="24" t="s">
        <v>7</v>
      </c>
      <c r="E33" s="58"/>
      <c r="F33" s="56" t="s">
        <v>20</v>
      </c>
      <c r="G33" s="18"/>
      <c r="H33" s="43"/>
      <c r="I33" s="43"/>
      <c r="J33" s="46"/>
      <c r="K33" s="237"/>
    </row>
    <row r="34" spans="2:12" s="204" customFormat="1" ht="14.25" customHeight="1" x14ac:dyDescent="0.15">
      <c r="B34" s="57" t="s">
        <v>8</v>
      </c>
      <c r="C34" s="6">
        <v>470</v>
      </c>
      <c r="D34" s="24" t="s">
        <v>7</v>
      </c>
      <c r="E34" s="58"/>
      <c r="F34" s="56" t="s">
        <v>20</v>
      </c>
      <c r="H34" s="236"/>
      <c r="I34" s="207"/>
      <c r="J34" s="220"/>
      <c r="K34" s="237"/>
    </row>
    <row r="35" spans="2:12" s="204" customFormat="1" ht="14.25" customHeight="1" x14ac:dyDescent="0.15">
      <c r="B35" s="59" t="s">
        <v>57</v>
      </c>
      <c r="C35" s="12">
        <f>(C32*C34/(C33+C34))*1000/$I$102*$I$104</f>
        <v>0.34179773242630385</v>
      </c>
      <c r="D35" s="24"/>
      <c r="E35" s="58"/>
      <c r="F35" s="56" t="s">
        <v>54</v>
      </c>
      <c r="H35" s="234"/>
      <c r="I35" s="238"/>
      <c r="J35" s="220"/>
      <c r="K35" s="237"/>
    </row>
    <row r="36" spans="2:12" s="206" customFormat="1" ht="14.25" customHeight="1" x14ac:dyDescent="0.15">
      <c r="B36" s="60"/>
      <c r="C36" s="61"/>
      <c r="D36" s="165"/>
      <c r="E36" s="61"/>
      <c r="F36" s="64"/>
      <c r="H36" s="239"/>
      <c r="I36" s="239"/>
      <c r="J36" s="221"/>
      <c r="K36" s="239"/>
    </row>
    <row r="37" spans="2:12" s="204" customFormat="1" ht="12.75" customHeight="1" x14ac:dyDescent="0.15">
      <c r="B37" s="53" t="s">
        <v>62</v>
      </c>
      <c r="C37" s="10">
        <v>5</v>
      </c>
      <c r="D37" s="166" t="s">
        <v>5</v>
      </c>
      <c r="E37" s="201" t="str">
        <f>"0x"&amp;DEC2HEX(C37*2^0.5*C39*$C$107*1*C38*2^15/$C$102)</f>
        <v>0x39E</v>
      </c>
      <c r="F37" s="68" t="s">
        <v>15</v>
      </c>
      <c r="H37" s="234"/>
      <c r="I37" s="207"/>
      <c r="J37" s="220"/>
      <c r="K37" s="240"/>
    </row>
    <row r="38" spans="2:12" s="204" customFormat="1" ht="12.75" customHeight="1" x14ac:dyDescent="0.15">
      <c r="B38" s="57" t="s">
        <v>129</v>
      </c>
      <c r="C38" s="258">
        <f>C18</f>
        <v>0.3</v>
      </c>
      <c r="D38" s="24" t="s">
        <v>9</v>
      </c>
      <c r="E38" s="58"/>
      <c r="F38" s="56"/>
      <c r="H38" s="236"/>
      <c r="I38" s="241"/>
      <c r="J38" s="220"/>
      <c r="K38" s="237"/>
    </row>
    <row r="39" spans="2:12" s="204" customFormat="1" ht="12.75" customHeight="1" x14ac:dyDescent="0.15">
      <c r="B39" s="57" t="s">
        <v>0</v>
      </c>
      <c r="C39" s="11">
        <v>16</v>
      </c>
      <c r="D39" s="24"/>
      <c r="E39" s="58"/>
      <c r="F39" s="56" t="s">
        <v>73</v>
      </c>
      <c r="H39" s="236"/>
      <c r="I39" s="207"/>
      <c r="J39" s="220"/>
      <c r="K39" s="237"/>
    </row>
    <row r="40" spans="2:12" s="204" customFormat="1" ht="12.75" customHeight="1" x14ac:dyDescent="0.15">
      <c r="B40" s="59" t="s">
        <v>63</v>
      </c>
      <c r="C40" s="71">
        <f>C37*C38/1000/$C$102*C39*1000</f>
        <v>0.02</v>
      </c>
      <c r="D40" s="24"/>
      <c r="E40" s="58"/>
      <c r="F40" s="56" t="s">
        <v>90</v>
      </c>
      <c r="H40" s="234"/>
      <c r="I40" s="238"/>
      <c r="J40" s="220"/>
      <c r="K40" s="237"/>
    </row>
    <row r="41" spans="2:12" s="204" customFormat="1" ht="12.75" customHeight="1" x14ac:dyDescent="0.15">
      <c r="B41" s="72"/>
      <c r="C41" s="73"/>
      <c r="D41" s="74"/>
      <c r="E41" s="74"/>
      <c r="F41" s="75"/>
      <c r="H41" s="242"/>
      <c r="I41" s="242"/>
      <c r="J41" s="220"/>
      <c r="K41" s="220"/>
    </row>
    <row r="42" spans="2:12" s="204" customFormat="1" ht="12.75" customHeight="1" x14ac:dyDescent="0.15">
      <c r="B42" s="57" t="s">
        <v>69</v>
      </c>
      <c r="C42" s="269">
        <f>C32*C37</f>
        <v>1150</v>
      </c>
      <c r="D42" s="54" t="s">
        <v>124</v>
      </c>
      <c r="E42" s="76" t="s">
        <v>88</v>
      </c>
      <c r="F42" s="56"/>
      <c r="H42" s="236"/>
      <c r="I42" s="243"/>
      <c r="J42" s="220"/>
      <c r="K42" s="244"/>
    </row>
    <row r="43" spans="2:12" s="204" customFormat="1" ht="14" thickBot="1" x14ac:dyDescent="0.2">
      <c r="B43" s="77" t="s">
        <v>77</v>
      </c>
      <c r="C43" s="259">
        <f>2^(HEX2DEC(E43)-4)</f>
        <v>1</v>
      </c>
      <c r="D43" s="78" t="s">
        <v>115</v>
      </c>
      <c r="E43" s="22">
        <v>4</v>
      </c>
      <c r="F43" s="79" t="s">
        <v>74</v>
      </c>
      <c r="H43" s="236"/>
      <c r="I43" s="246"/>
      <c r="J43" s="245"/>
      <c r="K43" s="209"/>
    </row>
    <row r="44" spans="2:12" s="206" customFormat="1" ht="14.25" customHeight="1" thickBot="1" x14ac:dyDescent="0.2">
      <c r="B44" s="45"/>
      <c r="C44" s="43"/>
      <c r="D44" s="43"/>
      <c r="E44" s="43"/>
      <c r="F44" s="46"/>
      <c r="H44" s="229"/>
      <c r="I44" s="230"/>
    </row>
    <row r="45" spans="2:12" s="206" customFormat="1" ht="14" thickBot="1" x14ac:dyDescent="0.2">
      <c r="B45" s="47" t="s">
        <v>87</v>
      </c>
      <c r="C45" s="48"/>
      <c r="D45" s="83"/>
      <c r="E45" s="84"/>
      <c r="F45" s="51"/>
      <c r="H45" s="236"/>
      <c r="I45" s="248"/>
      <c r="L45" s="247"/>
    </row>
    <row r="46" spans="2:12" s="206" customFormat="1" ht="26" x14ac:dyDescent="0.15">
      <c r="B46" s="85" t="s">
        <v>76</v>
      </c>
      <c r="C46" s="86">
        <f>(C25/(C43*2))*(C32*C34/(C33+C34)/C24*1000*C26)*C27*(C37*C38/C24*C39)*C28</f>
        <v>20.444444444444443</v>
      </c>
      <c r="D46" s="24" t="s">
        <v>12</v>
      </c>
      <c r="E46" s="24"/>
      <c r="F46" s="87" t="s">
        <v>162</v>
      </c>
    </row>
    <row r="47" spans="2:12" s="206" customFormat="1" ht="18.75" customHeight="1" x14ac:dyDescent="0.15">
      <c r="B47" s="88" t="s">
        <v>78</v>
      </c>
      <c r="C47" s="89">
        <f>1/2*C34/(C33+C34)*C38/1000*C25*C26/(C24/1000)*C39/(C24/1000)*C27*C28*1000*3600/C43</f>
        <v>64000</v>
      </c>
      <c r="D47" s="90" t="s">
        <v>28</v>
      </c>
      <c r="E47" s="90"/>
      <c r="F47" s="91" t="s">
        <v>163</v>
      </c>
      <c r="H47" s="249"/>
      <c r="I47" s="210"/>
      <c r="J47" s="221"/>
      <c r="K47" s="221"/>
    </row>
    <row r="48" spans="2:12" s="206" customFormat="1" ht="12.75" customHeight="1" x14ac:dyDescent="0.15">
      <c r="B48" s="92" t="s">
        <v>33</v>
      </c>
      <c r="C48" s="93">
        <f>3600*1000/C47</f>
        <v>56.25</v>
      </c>
      <c r="D48" s="24" t="s">
        <v>34</v>
      </c>
      <c r="E48" s="24"/>
      <c r="F48" s="56" t="s">
        <v>32</v>
      </c>
      <c r="H48" s="249"/>
      <c r="I48" s="250"/>
      <c r="J48" s="221"/>
      <c r="K48" s="221"/>
    </row>
    <row r="49" spans="2:12" s="206" customFormat="1" ht="26.25" customHeight="1" x14ac:dyDescent="0.15">
      <c r="B49" s="94" t="s">
        <v>79</v>
      </c>
      <c r="C49" s="95">
        <f>(1+C33/C34)*C24^2/(C38*C26*C39*C27*C28*2^28)</f>
        <v>0.8185452315956353</v>
      </c>
      <c r="D49" s="24" t="s">
        <v>36</v>
      </c>
      <c r="E49" s="24"/>
      <c r="F49" s="87" t="s">
        <v>164</v>
      </c>
      <c r="H49" s="249"/>
      <c r="I49" s="250"/>
      <c r="J49" s="221"/>
      <c r="K49" s="221"/>
    </row>
    <row r="50" spans="2:12" s="204" customFormat="1" ht="25.5" customHeight="1" x14ac:dyDescent="0.15">
      <c r="B50" s="96" t="s">
        <v>80</v>
      </c>
      <c r="C50" s="97">
        <f>(1+C33/C34)*C24^2/(C38*1*C26*C39*C27*C28*2^17*C25)</f>
        <v>0.21457672119140622</v>
      </c>
      <c r="D50" s="98" t="s">
        <v>38</v>
      </c>
      <c r="E50" s="98"/>
      <c r="F50" s="99" t="s">
        <v>165</v>
      </c>
      <c r="H50" s="251"/>
      <c r="I50" s="243"/>
      <c r="J50" s="220"/>
      <c r="K50" s="220"/>
      <c r="L50" s="252"/>
    </row>
    <row r="51" spans="2:12" s="206" customFormat="1" ht="14.25" customHeight="1" x14ac:dyDescent="0.15">
      <c r="B51" s="57" t="s">
        <v>39</v>
      </c>
      <c r="C51" s="100">
        <f>C50*2^32/3600/1000</f>
        <v>255.99999999999997</v>
      </c>
      <c r="D51" s="24" t="s">
        <v>17</v>
      </c>
      <c r="E51" s="24"/>
      <c r="F51" s="56" t="s">
        <v>40</v>
      </c>
      <c r="H51" s="249"/>
      <c r="I51" s="239"/>
      <c r="J51" s="221"/>
      <c r="K51" s="221"/>
    </row>
    <row r="52" spans="2:12" s="206" customFormat="1" ht="12.75" customHeight="1" x14ac:dyDescent="0.15">
      <c r="B52" s="57" t="s">
        <v>81</v>
      </c>
      <c r="C52" s="101">
        <f>C51/C42*3600</f>
        <v>801.39130434782601</v>
      </c>
      <c r="D52" s="24" t="s">
        <v>41</v>
      </c>
      <c r="E52" s="24"/>
      <c r="F52" s="56" t="s">
        <v>42</v>
      </c>
      <c r="H52" s="249"/>
      <c r="I52" s="250"/>
      <c r="J52" s="221"/>
      <c r="K52" s="221"/>
    </row>
    <row r="53" spans="2:12" s="206" customFormat="1" ht="12.75" customHeight="1" x14ac:dyDescent="0.15">
      <c r="B53" s="186" t="s">
        <v>43</v>
      </c>
      <c r="C53" s="266">
        <f>C51/C71*3600</f>
        <v>76.8</v>
      </c>
      <c r="D53" s="98" t="s">
        <v>41</v>
      </c>
      <c r="E53" s="188"/>
      <c r="F53" s="190"/>
      <c r="H53" s="249"/>
      <c r="I53" s="250"/>
      <c r="J53" s="221"/>
      <c r="K53" s="221"/>
    </row>
    <row r="54" spans="2:12" s="206" customFormat="1" ht="6" customHeight="1" x14ac:dyDescent="0.15">
      <c r="B54" s="103"/>
      <c r="C54" s="44"/>
      <c r="D54" s="44"/>
      <c r="E54" s="44"/>
      <c r="F54" s="46"/>
      <c r="H54" s="249"/>
      <c r="I54" s="250"/>
      <c r="J54" s="221"/>
      <c r="K54" s="221"/>
    </row>
    <row r="55" spans="2:12" s="206" customFormat="1" ht="12.75" customHeight="1" x14ac:dyDescent="0.15">
      <c r="B55" s="104" t="s">
        <v>71</v>
      </c>
      <c r="C55" s="105">
        <f>0.5*C24/(C26*2^0.5)*(C33+C34)/C34/1000</f>
        <v>237.91053047429457</v>
      </c>
      <c r="D55" s="107" t="s">
        <v>4</v>
      </c>
      <c r="E55" s="107"/>
      <c r="F55" s="108" t="s">
        <v>91</v>
      </c>
      <c r="H55" s="249"/>
      <c r="I55" s="250"/>
      <c r="J55" s="221"/>
      <c r="K55" s="221"/>
      <c r="L55" s="224"/>
    </row>
    <row r="56" spans="2:12" s="206" customFormat="1" ht="16.5" customHeight="1" x14ac:dyDescent="0.15">
      <c r="B56" s="110" t="s">
        <v>65</v>
      </c>
      <c r="C56" s="111">
        <f>0.5*C24/(C39*2^0.5*C38)</f>
        <v>88.388347648318444</v>
      </c>
      <c r="D56" s="16" t="s">
        <v>5</v>
      </c>
      <c r="E56" s="16"/>
      <c r="F56" s="113" t="s">
        <v>67</v>
      </c>
      <c r="H56" s="253"/>
      <c r="I56" s="221"/>
      <c r="J56" s="221"/>
      <c r="K56" s="254"/>
    </row>
    <row r="57" spans="2:12" s="206" customFormat="1" ht="12.75" customHeight="1" x14ac:dyDescent="0.15">
      <c r="B57" s="96" t="s">
        <v>66</v>
      </c>
      <c r="C57" s="118">
        <f>C24/(C28*C39*2^15*C38*C29)*1000</f>
        <v>8.7193080357142865</v>
      </c>
      <c r="D57" s="114" t="s">
        <v>49</v>
      </c>
      <c r="E57" s="114"/>
      <c r="F57" s="113" t="s">
        <v>136</v>
      </c>
      <c r="H57" s="249"/>
      <c r="I57" s="250"/>
      <c r="J57" s="221"/>
      <c r="K57" s="221"/>
    </row>
    <row r="58" spans="2:12" s="206" customFormat="1" ht="12.75" customHeight="1" x14ac:dyDescent="0.15">
      <c r="B58" s="104" t="s">
        <v>82</v>
      </c>
      <c r="C58" s="273">
        <f>C24/(C28*C39*2^15*C38*C29)*1000</f>
        <v>8.7193080357142865</v>
      </c>
      <c r="D58" s="107" t="s">
        <v>49</v>
      </c>
      <c r="E58" s="107"/>
      <c r="F58" s="116" t="s">
        <v>136</v>
      </c>
      <c r="H58" s="249"/>
      <c r="I58" s="250"/>
      <c r="J58" s="221"/>
      <c r="K58" s="221"/>
    </row>
    <row r="59" spans="2:12" s="206" customFormat="1" ht="12.75" customHeight="1" x14ac:dyDescent="0.15">
      <c r="B59" s="117" t="s">
        <v>70</v>
      </c>
      <c r="C59" s="118">
        <f>C24*(1+C33/C34)/(C27*C26*2^15)</f>
        <v>23.469328880310059</v>
      </c>
      <c r="D59" s="114" t="s">
        <v>16</v>
      </c>
      <c r="E59" s="114"/>
      <c r="F59" s="115" t="s">
        <v>137</v>
      </c>
      <c r="H59" s="249"/>
      <c r="I59" s="250"/>
      <c r="J59" s="221"/>
      <c r="K59" s="221"/>
    </row>
    <row r="60" spans="2:12" s="206" customFormat="1" ht="6" customHeight="1" x14ac:dyDescent="0.15">
      <c r="B60" s="103"/>
      <c r="C60" s="44"/>
      <c r="D60" s="44"/>
      <c r="E60" s="44"/>
      <c r="F60" s="46"/>
      <c r="H60" s="249"/>
      <c r="I60" s="250"/>
      <c r="J60" s="221"/>
      <c r="K60" s="221"/>
    </row>
    <row r="61" spans="2:12" s="206" customFormat="1" ht="12.75" customHeight="1" x14ac:dyDescent="0.2">
      <c r="B61" s="169" t="s">
        <v>104</v>
      </c>
      <c r="C61" s="262">
        <v>300</v>
      </c>
      <c r="D61" s="120" t="s">
        <v>4</v>
      </c>
      <c r="E61" s="120"/>
      <c r="F61" s="121" t="s">
        <v>19</v>
      </c>
      <c r="H61" s="249"/>
      <c r="I61" s="250"/>
      <c r="J61" s="221"/>
      <c r="K61" s="221"/>
    </row>
    <row r="62" spans="2:12" s="206" customFormat="1" ht="12.75" customHeight="1" x14ac:dyDescent="0.2">
      <c r="B62" s="170" t="s">
        <v>105</v>
      </c>
      <c r="C62" s="171">
        <f>C61*2^0.5</f>
        <v>424.26406871192853</v>
      </c>
      <c r="D62" s="26" t="s">
        <v>4</v>
      </c>
      <c r="E62" s="26"/>
      <c r="F62" s="38" t="s">
        <v>47</v>
      </c>
      <c r="H62" s="249"/>
      <c r="I62" s="250"/>
      <c r="J62" s="221"/>
      <c r="K62" s="221"/>
    </row>
    <row r="63" spans="2:12" s="206" customFormat="1" ht="12.75" customHeight="1" x14ac:dyDescent="0.2">
      <c r="B63" s="170" t="s">
        <v>106</v>
      </c>
      <c r="C63" s="171">
        <f>C62*C34/(C33+C34)*1000</f>
        <v>378.29346948442105</v>
      </c>
      <c r="D63" s="26" t="s">
        <v>16</v>
      </c>
      <c r="E63" s="26"/>
      <c r="F63" s="38" t="s">
        <v>21</v>
      </c>
      <c r="H63" s="249"/>
      <c r="I63" s="250"/>
      <c r="J63" s="221"/>
      <c r="K63" s="221"/>
    </row>
    <row r="64" spans="2:12" s="206" customFormat="1" ht="12.75" customHeight="1" x14ac:dyDescent="0.15">
      <c r="B64" s="172" t="s">
        <v>107</v>
      </c>
      <c r="C64" s="256">
        <f>C63/$C$102*C26</f>
        <v>0.63048911580736844</v>
      </c>
      <c r="D64" s="98"/>
      <c r="E64" s="98"/>
      <c r="F64" s="127" t="s">
        <v>75</v>
      </c>
      <c r="H64" s="249"/>
      <c r="I64" s="250"/>
      <c r="J64" s="221"/>
      <c r="K64" s="221"/>
    </row>
    <row r="65" spans="2:12" s="206" customFormat="1" ht="6" customHeight="1" x14ac:dyDescent="0.15">
      <c r="B65" s="173"/>
      <c r="C65" s="129"/>
      <c r="D65" s="43"/>
      <c r="E65" s="43"/>
      <c r="F65" s="46"/>
      <c r="H65" s="249"/>
      <c r="I65" s="250"/>
      <c r="J65" s="221"/>
      <c r="K65" s="221"/>
    </row>
    <row r="66" spans="2:12" s="206" customFormat="1" ht="12.75" customHeight="1" x14ac:dyDescent="0.2">
      <c r="B66" s="169" t="s">
        <v>108</v>
      </c>
      <c r="C66" s="263">
        <v>40</v>
      </c>
      <c r="D66" s="120" t="s">
        <v>5</v>
      </c>
      <c r="E66" s="120"/>
      <c r="F66" s="121" t="s">
        <v>51</v>
      </c>
      <c r="H66" s="249"/>
      <c r="I66" s="250"/>
      <c r="J66" s="221"/>
      <c r="K66" s="221"/>
    </row>
    <row r="67" spans="2:12" s="206" customFormat="1" ht="12.75" customHeight="1" x14ac:dyDescent="0.2">
      <c r="B67" s="170" t="s">
        <v>109</v>
      </c>
      <c r="C67" s="171">
        <f>C66*2^0.5</f>
        <v>56.568542494923804</v>
      </c>
      <c r="D67" s="26"/>
      <c r="E67" s="26"/>
      <c r="F67" s="38" t="s">
        <v>48</v>
      </c>
      <c r="H67" s="249"/>
      <c r="I67" s="250"/>
      <c r="J67" s="221"/>
      <c r="K67" s="221"/>
    </row>
    <row r="68" spans="2:12" s="206" customFormat="1" ht="12.75" customHeight="1" x14ac:dyDescent="0.2">
      <c r="B68" s="170" t="s">
        <v>110</v>
      </c>
      <c r="C68" s="171">
        <f>C67*C38/1000*1000</f>
        <v>16.970562748477139</v>
      </c>
      <c r="D68" s="26" t="s">
        <v>16</v>
      </c>
      <c r="E68" s="26"/>
      <c r="F68" s="38" t="s">
        <v>23</v>
      </c>
      <c r="H68" s="249"/>
      <c r="I68" s="250"/>
      <c r="J68" s="221"/>
      <c r="K68" s="221"/>
    </row>
    <row r="69" spans="2:12" s="206" customFormat="1" ht="12.75" customHeight="1" x14ac:dyDescent="0.2">
      <c r="B69" s="174" t="s">
        <v>111</v>
      </c>
      <c r="C69" s="256">
        <f>C68/$C$102*C39</f>
        <v>0.22627416997969518</v>
      </c>
      <c r="D69" s="132"/>
      <c r="E69" s="132"/>
      <c r="F69" s="133" t="s">
        <v>44</v>
      </c>
      <c r="H69" s="249"/>
      <c r="I69" s="250"/>
      <c r="J69" s="221"/>
      <c r="K69" s="221"/>
    </row>
    <row r="70" spans="2:12" s="206" customFormat="1" ht="6" customHeight="1" x14ac:dyDescent="0.15">
      <c r="B70" s="175"/>
      <c r="C70" s="43"/>
      <c r="D70" s="43"/>
      <c r="E70" s="135"/>
      <c r="F70" s="46"/>
      <c r="H70" s="249"/>
      <c r="I70" s="250"/>
      <c r="J70" s="221"/>
      <c r="K70" s="221"/>
    </row>
    <row r="71" spans="2:12" s="206" customFormat="1" ht="15.75" customHeight="1" x14ac:dyDescent="0.15">
      <c r="B71" s="176" t="s">
        <v>37</v>
      </c>
      <c r="C71" s="171">
        <f>C62*C67/2</f>
        <v>12000</v>
      </c>
      <c r="D71" s="177" t="s">
        <v>25</v>
      </c>
      <c r="E71" s="120"/>
      <c r="F71" s="121" t="s">
        <v>24</v>
      </c>
      <c r="H71" s="249"/>
      <c r="I71" s="250"/>
      <c r="J71" s="221"/>
      <c r="K71" s="221"/>
      <c r="L71" s="222"/>
    </row>
    <row r="72" spans="2:12" s="206" customFormat="1" ht="15.75" customHeight="1" x14ac:dyDescent="0.2">
      <c r="B72" s="174" t="s">
        <v>112</v>
      </c>
      <c r="C72" s="257">
        <f>1/2*C64*C27*C69*C28</f>
        <v>5.461333333333334E-2</v>
      </c>
      <c r="D72" s="132"/>
      <c r="E72" s="132"/>
      <c r="F72" s="191" t="s">
        <v>166</v>
      </c>
      <c r="H72" s="249"/>
      <c r="I72" s="250"/>
      <c r="J72" s="221"/>
      <c r="K72" s="221"/>
      <c r="L72" s="222"/>
    </row>
    <row r="73" spans="2:12" s="206" customFormat="1" ht="6" customHeight="1" x14ac:dyDescent="0.15">
      <c r="B73" s="173"/>
      <c r="C73" s="139"/>
      <c r="D73" s="43"/>
      <c r="E73" s="43"/>
      <c r="F73" s="46"/>
      <c r="H73" s="249"/>
      <c r="I73" s="250"/>
      <c r="J73" s="221"/>
      <c r="K73" s="221"/>
    </row>
    <row r="74" spans="2:12" s="206" customFormat="1" ht="15.75" customHeight="1" thickBot="1" x14ac:dyDescent="0.25">
      <c r="B74" s="178" t="s">
        <v>113</v>
      </c>
      <c r="C74" s="179">
        <f>C72*$C$103/(C43*2)</f>
        <v>213.33333333333337</v>
      </c>
      <c r="D74" s="180" t="s">
        <v>12</v>
      </c>
      <c r="E74" s="180"/>
      <c r="F74" s="181" t="s">
        <v>46</v>
      </c>
      <c r="H74" s="249"/>
      <c r="I74" s="250"/>
      <c r="J74" s="221"/>
      <c r="K74" s="221"/>
      <c r="L74" s="222"/>
    </row>
    <row r="75" spans="2:12" s="206" customFormat="1" ht="15.75" customHeight="1" x14ac:dyDescent="0.15">
      <c r="B75" s="249"/>
      <c r="C75" s="250"/>
      <c r="D75" s="221"/>
      <c r="E75" s="221"/>
      <c r="H75" s="249"/>
      <c r="I75" s="250"/>
      <c r="J75" s="221"/>
      <c r="K75" s="221"/>
      <c r="L75" s="222"/>
    </row>
    <row r="76" spans="2:12" s="206" customFormat="1" ht="15.75" customHeight="1" x14ac:dyDescent="0.15">
      <c r="B76" s="249"/>
      <c r="C76" s="250"/>
      <c r="D76" s="221"/>
      <c r="E76" s="221"/>
      <c r="H76" s="249"/>
      <c r="I76" s="250"/>
      <c r="J76" s="221"/>
      <c r="K76" s="221"/>
      <c r="L76" s="222"/>
    </row>
    <row r="77" spans="2:12" s="206" customFormat="1" ht="15.75" customHeight="1" x14ac:dyDescent="0.15">
      <c r="B77" s="249"/>
      <c r="C77" s="250"/>
      <c r="D77" s="221"/>
      <c r="E77" s="221"/>
      <c r="H77" s="249"/>
      <c r="I77" s="250"/>
      <c r="J77" s="221"/>
      <c r="K77" s="221"/>
      <c r="L77" s="222"/>
    </row>
    <row r="78" spans="2:12" s="206" customFormat="1" ht="15.75" customHeight="1" x14ac:dyDescent="0.15">
      <c r="B78" s="249"/>
      <c r="C78" s="250"/>
      <c r="D78" s="221"/>
      <c r="E78" s="221"/>
      <c r="H78" s="249"/>
      <c r="I78" s="250"/>
      <c r="J78" s="221"/>
      <c r="K78" s="221"/>
      <c r="L78" s="222"/>
    </row>
    <row r="79" spans="2:12" s="206" customFormat="1" ht="15.75" customHeight="1" x14ac:dyDescent="0.15">
      <c r="B79" s="249"/>
      <c r="C79" s="250"/>
      <c r="D79" s="221"/>
      <c r="E79" s="221"/>
      <c r="H79" s="249"/>
      <c r="I79" s="250"/>
      <c r="J79" s="221"/>
      <c r="K79" s="221"/>
      <c r="L79" s="222"/>
    </row>
    <row r="80" spans="2:12" s="206" customFormat="1" ht="15.75" customHeight="1" x14ac:dyDescent="0.15">
      <c r="B80" s="249"/>
      <c r="C80" s="250"/>
      <c r="D80" s="221"/>
      <c r="E80" s="221"/>
      <c r="H80" s="249"/>
      <c r="I80" s="250"/>
      <c r="J80" s="221"/>
      <c r="K80" s="221"/>
      <c r="L80" s="222"/>
    </row>
    <row r="81" spans="2:12" s="206" customFormat="1" ht="15.75" customHeight="1" x14ac:dyDescent="0.15">
      <c r="B81" s="249"/>
      <c r="C81" s="250"/>
      <c r="D81" s="221"/>
      <c r="E81" s="221"/>
      <c r="H81" s="249"/>
      <c r="I81" s="250"/>
      <c r="J81" s="221"/>
      <c r="K81" s="221"/>
      <c r="L81" s="222"/>
    </row>
    <row r="82" spans="2:12" s="206" customFormat="1" ht="15.75" customHeight="1" x14ac:dyDescent="0.15">
      <c r="B82" s="249"/>
      <c r="C82" s="250"/>
      <c r="D82" s="221"/>
      <c r="E82" s="221"/>
      <c r="H82" s="249"/>
      <c r="I82" s="250"/>
      <c r="J82" s="221"/>
      <c r="K82" s="221"/>
      <c r="L82" s="222"/>
    </row>
    <row r="83" spans="2:12" s="206" customFormat="1" ht="15.75" customHeight="1" x14ac:dyDescent="0.15">
      <c r="B83" s="249"/>
      <c r="C83" s="250"/>
      <c r="D83" s="221"/>
      <c r="E83" s="221"/>
      <c r="H83" s="249"/>
      <c r="I83" s="250"/>
      <c r="J83" s="221"/>
      <c r="K83" s="221"/>
      <c r="L83" s="222"/>
    </row>
    <row r="84" spans="2:12" s="206" customFormat="1" ht="15.75" customHeight="1" x14ac:dyDescent="0.15">
      <c r="B84" s="249"/>
      <c r="C84" s="250"/>
      <c r="D84" s="221"/>
      <c r="E84" s="221"/>
      <c r="H84" s="249"/>
      <c r="I84" s="250"/>
      <c r="J84" s="221"/>
      <c r="K84" s="221"/>
      <c r="L84" s="222"/>
    </row>
    <row r="85" spans="2:12" s="206" customFormat="1" ht="16.5" customHeight="1" x14ac:dyDescent="0.15">
      <c r="B85" s="249"/>
      <c r="C85" s="250"/>
      <c r="D85" s="221"/>
      <c r="E85" s="221"/>
      <c r="F85" s="222"/>
      <c r="H85" s="249"/>
      <c r="I85" s="227"/>
      <c r="J85" s="221"/>
      <c r="K85" s="221"/>
    </row>
    <row r="86" spans="2:12" s="206" customFormat="1" x14ac:dyDescent="0.15">
      <c r="B86" s="249"/>
      <c r="C86" s="227"/>
      <c r="D86" s="221"/>
      <c r="E86" s="221"/>
      <c r="H86" s="249"/>
      <c r="J86" s="221"/>
      <c r="K86" s="221"/>
    </row>
    <row r="87" spans="2:12" s="206" customFormat="1" x14ac:dyDescent="0.15">
      <c r="B87" s="255"/>
      <c r="C87" s="250"/>
      <c r="D87" s="221"/>
      <c r="E87" s="221"/>
      <c r="H87" s="249"/>
      <c r="J87" s="221"/>
      <c r="K87" s="221"/>
    </row>
    <row r="88" spans="2:12" s="214" customFormat="1" x14ac:dyDescent="0.15">
      <c r="B88" s="249"/>
      <c r="C88" s="206"/>
      <c r="D88" s="221"/>
      <c r="E88" s="221"/>
      <c r="F88" s="206"/>
      <c r="G88" s="206"/>
      <c r="H88" s="249"/>
      <c r="I88" s="206"/>
      <c r="J88" s="221"/>
      <c r="K88" s="221"/>
      <c r="L88" s="206"/>
    </row>
    <row r="89" spans="2:12" s="214" customFormat="1" x14ac:dyDescent="0.15">
      <c r="B89" s="249"/>
      <c r="C89" s="206"/>
      <c r="D89" s="221"/>
      <c r="E89" s="221"/>
      <c r="F89" s="206"/>
      <c r="G89" s="206"/>
      <c r="H89" s="249"/>
      <c r="I89" s="206"/>
      <c r="J89" s="221"/>
      <c r="K89" s="221"/>
      <c r="L89" s="206"/>
    </row>
    <row r="90" spans="2:12" s="214" customFormat="1" x14ac:dyDescent="0.15">
      <c r="B90" s="255"/>
      <c r="C90" s="250"/>
      <c r="D90" s="221"/>
      <c r="E90" s="221"/>
      <c r="F90" s="206"/>
      <c r="G90" s="206"/>
      <c r="H90" s="255"/>
      <c r="I90" s="250"/>
      <c r="J90" s="221"/>
      <c r="K90" s="221"/>
      <c r="L90" s="206"/>
    </row>
    <row r="91" spans="2:12" ht="6" customHeight="1" x14ac:dyDescent="0.15">
      <c r="B91" s="44"/>
      <c r="C91" s="44"/>
      <c r="D91" s="43"/>
      <c r="E91" s="43"/>
      <c r="F91" s="44"/>
    </row>
    <row r="92" spans="2:12" ht="18.75" customHeight="1" x14ac:dyDescent="0.15">
      <c r="B92" s="44"/>
      <c r="C92" s="44"/>
      <c r="D92" s="43"/>
      <c r="E92" s="43"/>
      <c r="F92" s="44"/>
    </row>
    <row r="93" spans="2:12" ht="24" hidden="1" customHeight="1" thickBot="1" x14ac:dyDescent="0.2">
      <c r="B93" s="142" t="s">
        <v>92</v>
      </c>
      <c r="C93" s="48"/>
      <c r="D93" s="143"/>
      <c r="E93" s="144"/>
      <c r="F93" s="145"/>
      <c r="H93" s="142" t="s">
        <v>97</v>
      </c>
      <c r="I93" s="48"/>
      <c r="J93" s="143"/>
      <c r="K93" s="144"/>
      <c r="L93" s="145"/>
    </row>
    <row r="94" spans="2:12" s="25" customFormat="1" ht="20.25" hidden="1" customHeight="1" thickBot="1" x14ac:dyDescent="0.2">
      <c r="B94" s="146" t="s">
        <v>93</v>
      </c>
      <c r="D94" s="147"/>
      <c r="E94" s="148"/>
      <c r="F94" s="149"/>
      <c r="H94" s="146" t="s">
        <v>98</v>
      </c>
      <c r="J94" s="147"/>
      <c r="K94" s="148"/>
      <c r="L94" s="149"/>
    </row>
    <row r="95" spans="2:12" ht="14.25" hidden="1" customHeight="1" thickBot="1" x14ac:dyDescent="0.2">
      <c r="B95" s="103" t="s">
        <v>94</v>
      </c>
      <c r="C95" s="17">
        <v>64000</v>
      </c>
      <c r="D95" s="150" t="s">
        <v>28</v>
      </c>
      <c r="E95" s="43"/>
      <c r="F95" s="151"/>
      <c r="H95" s="103" t="s">
        <v>94</v>
      </c>
      <c r="I95" s="152">
        <v>64000</v>
      </c>
      <c r="J95" s="150" t="s">
        <v>28</v>
      </c>
      <c r="K95" s="43"/>
      <c r="L95" s="151"/>
    </row>
    <row r="96" spans="2:12" ht="14.25" hidden="1" customHeight="1" thickBot="1" x14ac:dyDescent="0.2">
      <c r="B96" s="103" t="s">
        <v>95</v>
      </c>
      <c r="C96" s="15">
        <v>770000</v>
      </c>
      <c r="D96" s="150" t="s">
        <v>7</v>
      </c>
      <c r="E96" s="43"/>
      <c r="F96" s="151"/>
      <c r="H96" s="103" t="s">
        <v>99</v>
      </c>
      <c r="I96" s="267">
        <v>0.3</v>
      </c>
      <c r="J96" s="150" t="s">
        <v>9</v>
      </c>
      <c r="K96" s="43"/>
      <c r="L96" s="151"/>
    </row>
    <row r="97" spans="2:12" ht="14" hidden="1" thickBot="1" x14ac:dyDescent="0.2">
      <c r="B97" s="153" t="s">
        <v>96</v>
      </c>
      <c r="C97" s="268">
        <f>($C$102^2*C95*(1+C96/C112)/(1800*C104*C117*C105*C106*C103)/(1000*1000))*C121</f>
        <v>3.5080171546678249</v>
      </c>
      <c r="D97" s="154" t="s">
        <v>9</v>
      </c>
      <c r="E97" s="82"/>
      <c r="F97" s="155" t="s">
        <v>167</v>
      </c>
      <c r="H97" s="153" t="s">
        <v>100</v>
      </c>
      <c r="I97" s="156">
        <f>I112*(((1800*I96*I104*I117*I105*I106*I103)/(I102^2*I95)*(1000*1000)/I121)-1)</f>
        <v>526644.8681640625</v>
      </c>
      <c r="J97" s="154" t="s">
        <v>7</v>
      </c>
      <c r="K97" s="82"/>
      <c r="L97" s="157" t="s">
        <v>161</v>
      </c>
    </row>
    <row r="98" spans="2:12" ht="8.25" hidden="1" customHeight="1" thickBot="1" x14ac:dyDescent="0.2">
      <c r="B98" s="81"/>
      <c r="C98" s="43"/>
      <c r="D98" s="43"/>
      <c r="E98" s="43"/>
      <c r="F98" s="82"/>
      <c r="H98" s="81"/>
      <c r="I98" s="43"/>
      <c r="J98" s="43"/>
      <c r="K98" s="43"/>
      <c r="L98" s="82"/>
    </row>
    <row r="99" spans="2:12" ht="13.5" hidden="1" customHeight="1" thickBot="1" x14ac:dyDescent="0.2">
      <c r="B99" s="31" t="s">
        <v>83</v>
      </c>
      <c r="C99" s="32"/>
      <c r="D99" s="158"/>
      <c r="E99" s="159"/>
      <c r="F99" s="160"/>
      <c r="H99" s="31" t="s">
        <v>83</v>
      </c>
      <c r="I99" s="32"/>
      <c r="J99" s="158"/>
      <c r="K99" s="159"/>
      <c r="L99" s="160"/>
    </row>
    <row r="100" spans="2:12" ht="14" hidden="1" thickBot="1" x14ac:dyDescent="0.2">
      <c r="B100" s="128" t="s">
        <v>14</v>
      </c>
      <c r="C100" s="4" t="s">
        <v>18</v>
      </c>
      <c r="D100" s="43"/>
      <c r="E100" s="161"/>
      <c r="F100" s="46"/>
      <c r="H100" s="128" t="s">
        <v>14</v>
      </c>
      <c r="I100" s="4" t="s">
        <v>18</v>
      </c>
      <c r="J100" s="43"/>
      <c r="K100" s="161"/>
      <c r="L100" s="46"/>
    </row>
    <row r="101" spans="2:12" ht="14" hidden="1" thickBot="1" x14ac:dyDescent="0.2">
      <c r="B101" s="128"/>
      <c r="C101" s="43"/>
      <c r="D101" s="43"/>
      <c r="E101" s="161"/>
      <c r="F101" s="46"/>
      <c r="H101" s="128"/>
      <c r="I101" s="43"/>
      <c r="J101" s="43"/>
      <c r="K101" s="161"/>
      <c r="L101" s="46"/>
    </row>
    <row r="102" spans="2:12" ht="12.75" hidden="1" customHeight="1" x14ac:dyDescent="0.15">
      <c r="B102" s="128" t="s">
        <v>11</v>
      </c>
      <c r="C102" s="8">
        <v>1200</v>
      </c>
      <c r="D102" s="43" t="s">
        <v>16</v>
      </c>
      <c r="E102" s="43"/>
      <c r="F102" s="46" t="s">
        <v>127</v>
      </c>
      <c r="H102" s="128" t="s">
        <v>11</v>
      </c>
      <c r="I102" s="8">
        <v>1200</v>
      </c>
      <c r="J102" s="43" t="s">
        <v>16</v>
      </c>
      <c r="K102" s="43"/>
      <c r="L102" s="46" t="s">
        <v>1</v>
      </c>
    </row>
    <row r="103" spans="2:12" ht="12.75" hidden="1" customHeight="1" x14ac:dyDescent="0.15">
      <c r="B103" s="128" t="s">
        <v>35</v>
      </c>
      <c r="C103" s="18">
        <v>7812.5</v>
      </c>
      <c r="D103" s="43" t="s">
        <v>12</v>
      </c>
      <c r="E103" s="43"/>
      <c r="F103" s="46" t="s">
        <v>29</v>
      </c>
      <c r="H103" s="128" t="s">
        <v>35</v>
      </c>
      <c r="I103" s="9">
        <v>7812.5</v>
      </c>
      <c r="J103" s="43" t="s">
        <v>12</v>
      </c>
      <c r="K103" s="43"/>
      <c r="L103" s="46" t="s">
        <v>29</v>
      </c>
    </row>
    <row r="104" spans="2:12" ht="12.75" hidden="1" customHeight="1" x14ac:dyDescent="0.15">
      <c r="B104" s="128" t="s">
        <v>2</v>
      </c>
      <c r="C104" s="18">
        <v>2</v>
      </c>
      <c r="D104" s="43"/>
      <c r="E104" s="43"/>
      <c r="F104" s="46" t="s">
        <v>85</v>
      </c>
      <c r="H104" s="128" t="s">
        <v>2</v>
      </c>
      <c r="I104" s="9">
        <v>2</v>
      </c>
      <c r="J104" s="43"/>
      <c r="K104" s="43"/>
      <c r="L104" s="46" t="s">
        <v>85</v>
      </c>
    </row>
    <row r="105" spans="2:12" s="25" customFormat="1" ht="12.75" hidden="1" customHeight="1" x14ac:dyDescent="0.2">
      <c r="B105" s="128" t="s">
        <v>139</v>
      </c>
      <c r="C105" s="18">
        <v>0.875</v>
      </c>
      <c r="D105" s="43"/>
      <c r="E105" s="43"/>
      <c r="F105" s="46" t="s">
        <v>160</v>
      </c>
      <c r="H105" s="128" t="s">
        <v>139</v>
      </c>
      <c r="I105" s="18">
        <v>0.875</v>
      </c>
      <c r="J105" s="43"/>
      <c r="K105" s="43"/>
      <c r="L105" s="46" t="s">
        <v>160</v>
      </c>
    </row>
    <row r="106" spans="2:12" s="25" customFormat="1" ht="12.75" hidden="1" customHeight="1" x14ac:dyDescent="0.2">
      <c r="B106" s="128" t="s">
        <v>140</v>
      </c>
      <c r="C106" s="18">
        <v>0.875</v>
      </c>
      <c r="D106" s="43"/>
      <c r="E106" s="43"/>
      <c r="F106" s="46" t="s">
        <v>160</v>
      </c>
      <c r="H106" s="128" t="s">
        <v>140</v>
      </c>
      <c r="I106" s="18">
        <v>0.875</v>
      </c>
      <c r="J106" s="43"/>
      <c r="K106" s="43"/>
      <c r="L106" s="46" t="s">
        <v>160</v>
      </c>
    </row>
    <row r="107" spans="2:12" ht="12.75" hidden="1" customHeight="1" thickBot="1" x14ac:dyDescent="0.25">
      <c r="B107" s="162" t="s">
        <v>135</v>
      </c>
      <c r="C107" s="19">
        <v>1</v>
      </c>
      <c r="D107" s="154"/>
      <c r="E107" s="154"/>
      <c r="F107" s="157" t="s">
        <v>84</v>
      </c>
      <c r="H107" s="162" t="s">
        <v>135</v>
      </c>
      <c r="I107" s="19">
        <v>1</v>
      </c>
      <c r="J107" s="154"/>
      <c r="K107" s="154"/>
      <c r="L107" s="157" t="s">
        <v>84</v>
      </c>
    </row>
    <row r="108" spans="2:12" ht="8.25" hidden="1" customHeight="1" thickBot="1" x14ac:dyDescent="0.2">
      <c r="B108" s="163"/>
      <c r="C108" s="164"/>
      <c r="H108" s="163"/>
      <c r="I108" s="164"/>
    </row>
    <row r="109" spans="2:12" s="52" customFormat="1" ht="13.5" hidden="1" customHeight="1" thickBot="1" x14ac:dyDescent="0.2">
      <c r="B109" s="47" t="s">
        <v>86</v>
      </c>
      <c r="C109" s="48"/>
      <c r="D109" s="49"/>
      <c r="E109" s="50" t="s">
        <v>88</v>
      </c>
      <c r="F109" s="51"/>
      <c r="H109" s="47" t="s">
        <v>86</v>
      </c>
      <c r="I109" s="48"/>
      <c r="J109" s="49"/>
      <c r="K109" s="50" t="s">
        <v>88</v>
      </c>
      <c r="L109" s="51"/>
    </row>
    <row r="110" spans="2:12" s="25" customFormat="1" ht="14.25" hidden="1" customHeight="1" x14ac:dyDescent="0.15">
      <c r="B110" s="53" t="s">
        <v>53</v>
      </c>
      <c r="C110" s="5">
        <v>230</v>
      </c>
      <c r="D110" s="54" t="s">
        <v>4</v>
      </c>
      <c r="E110" s="55" t="str">
        <f>"0x"&amp;DEC2HEX(C110*2^0.5*$C$104*$C$107*2^15/($C$102/1000*(1+C111/C112)))</f>
        <v>0x2A54</v>
      </c>
      <c r="F110" s="56" t="s">
        <v>19</v>
      </c>
      <c r="H110" s="53" t="s">
        <v>53</v>
      </c>
      <c r="I110" s="5">
        <v>230</v>
      </c>
      <c r="J110" s="54" t="s">
        <v>4</v>
      </c>
      <c r="K110" s="55" t="str">
        <f>"0x"&amp;DEC2HEX(I110*2^0.5*$C$104*$C$107*2^15/($C$102/1000*(1+I111/I112)))</f>
        <v>0x3DDF</v>
      </c>
      <c r="L110" s="56" t="s">
        <v>19</v>
      </c>
    </row>
    <row r="111" spans="2:12" s="25" customFormat="1" ht="14.25" hidden="1" customHeight="1" x14ac:dyDescent="0.15">
      <c r="B111" s="57" t="s">
        <v>102</v>
      </c>
      <c r="C111" s="260">
        <f>C96</f>
        <v>770000</v>
      </c>
      <c r="D111" s="24" t="s">
        <v>7</v>
      </c>
      <c r="E111" s="58"/>
      <c r="F111" s="56" t="s">
        <v>20</v>
      </c>
      <c r="H111" s="57" t="s">
        <v>134</v>
      </c>
      <c r="I111" s="13">
        <f>I97</f>
        <v>526644.8681640625</v>
      </c>
      <c r="J111" s="24" t="s">
        <v>7</v>
      </c>
      <c r="K111" s="58"/>
      <c r="L111" s="56" t="s">
        <v>20</v>
      </c>
    </row>
    <row r="112" spans="2:12" s="25" customFormat="1" ht="14.25" hidden="1" customHeight="1" x14ac:dyDescent="0.15">
      <c r="B112" s="57" t="s">
        <v>8</v>
      </c>
      <c r="C112" s="6">
        <v>470</v>
      </c>
      <c r="D112" s="24" t="s">
        <v>7</v>
      </c>
      <c r="E112" s="58"/>
      <c r="F112" s="56" t="s">
        <v>20</v>
      </c>
      <c r="H112" s="57" t="s">
        <v>8</v>
      </c>
      <c r="I112" s="6">
        <v>470</v>
      </c>
      <c r="J112" s="24" t="s">
        <v>7</v>
      </c>
      <c r="K112" s="58"/>
      <c r="L112" s="56" t="s">
        <v>20</v>
      </c>
    </row>
    <row r="113" spans="2:12" s="25" customFormat="1" ht="14.25" hidden="1" customHeight="1" x14ac:dyDescent="0.15">
      <c r="B113" s="59" t="s">
        <v>57</v>
      </c>
      <c r="C113" s="71">
        <f>(C110*C112/(C111+C112))*1000/$C$102*$C$104</f>
        <v>0.23383995050640086</v>
      </c>
      <c r="D113" s="24"/>
      <c r="E113" s="58"/>
      <c r="F113" s="56" t="s">
        <v>54</v>
      </c>
      <c r="H113" s="59" t="s">
        <v>57</v>
      </c>
      <c r="I113" s="12">
        <f>(I110*I112/(I111+I112))*1000/$I$102*$I$104</f>
        <v>0.34179773242630385</v>
      </c>
      <c r="J113" s="24"/>
      <c r="K113" s="58"/>
      <c r="L113" s="56" t="s">
        <v>54</v>
      </c>
    </row>
    <row r="114" spans="2:12" ht="6" hidden="1" customHeight="1" x14ac:dyDescent="0.15">
      <c r="B114" s="60"/>
      <c r="C114" s="61"/>
      <c r="D114" s="165"/>
      <c r="E114" s="61"/>
      <c r="F114" s="64"/>
      <c r="H114" s="60"/>
      <c r="I114" s="61"/>
      <c r="J114" s="165"/>
      <c r="K114" s="61"/>
      <c r="L114" s="64"/>
    </row>
    <row r="115" spans="2:12" s="25" customFormat="1" ht="12.75" hidden="1" customHeight="1" x14ac:dyDescent="0.15">
      <c r="B115" s="53" t="s">
        <v>62</v>
      </c>
      <c r="C115" s="10">
        <v>5</v>
      </c>
      <c r="D115" s="166" t="s">
        <v>5</v>
      </c>
      <c r="E115" s="201" t="str">
        <f>"0x"&amp;DEC2HEX(C115*2^0.5*C117*$C$107*1*C116*2^15/$C$102)</f>
        <v>0x54A</v>
      </c>
      <c r="F115" s="68" t="s">
        <v>15</v>
      </c>
      <c r="H115" s="53" t="s">
        <v>62</v>
      </c>
      <c r="I115" s="10">
        <v>5</v>
      </c>
      <c r="J115" s="166" t="s">
        <v>5</v>
      </c>
      <c r="K115" s="201" t="str">
        <f>"0x"&amp;DEC2HEX(I115*2^0.5*I117*$C$107*1*I116*2^15/$C$102)</f>
        <v>0x39E</v>
      </c>
      <c r="L115" s="68" t="s">
        <v>15</v>
      </c>
    </row>
    <row r="116" spans="2:12" s="25" customFormat="1" ht="12.75" hidden="1" customHeight="1" x14ac:dyDescent="0.15">
      <c r="B116" s="57" t="s">
        <v>133</v>
      </c>
      <c r="C116" s="14">
        <f>C97</f>
        <v>3.5080171546678249</v>
      </c>
      <c r="D116" s="24" t="s">
        <v>9</v>
      </c>
      <c r="E116" s="58"/>
      <c r="F116" s="56"/>
      <c r="H116" s="57" t="s">
        <v>129</v>
      </c>
      <c r="I116" s="258">
        <f>I96</f>
        <v>0.3</v>
      </c>
      <c r="J116" s="24" t="s">
        <v>9</v>
      </c>
      <c r="K116" s="58"/>
      <c r="L116" s="56"/>
    </row>
    <row r="117" spans="2:12" s="25" customFormat="1" ht="12.75" hidden="1" customHeight="1" x14ac:dyDescent="0.15">
      <c r="B117" s="57" t="s">
        <v>0</v>
      </c>
      <c r="C117" s="11">
        <v>2</v>
      </c>
      <c r="D117" s="24"/>
      <c r="E117" s="58"/>
      <c r="F117" s="56" t="s">
        <v>73</v>
      </c>
      <c r="H117" s="57" t="s">
        <v>0</v>
      </c>
      <c r="I117" s="11">
        <v>16</v>
      </c>
      <c r="J117" s="24"/>
      <c r="K117" s="58"/>
      <c r="L117" s="56" t="s">
        <v>73</v>
      </c>
    </row>
    <row r="118" spans="2:12" s="25" customFormat="1" ht="12.75" hidden="1" customHeight="1" x14ac:dyDescent="0.15">
      <c r="B118" s="59" t="s">
        <v>63</v>
      </c>
      <c r="C118" s="71">
        <f>C115*C116/1000/$C$102*C117*1000</f>
        <v>2.9233476288898542E-2</v>
      </c>
      <c r="D118" s="24"/>
      <c r="E118" s="58"/>
      <c r="F118" s="56" t="s">
        <v>90</v>
      </c>
      <c r="H118" s="59" t="s">
        <v>63</v>
      </c>
      <c r="I118" s="71">
        <f>I115*I116/1000/$C$102*I117*1000</f>
        <v>0.02</v>
      </c>
      <c r="J118" s="24"/>
      <c r="K118" s="58"/>
      <c r="L118" s="56" t="s">
        <v>90</v>
      </c>
    </row>
    <row r="119" spans="2:12" s="25" customFormat="1" ht="6" hidden="1" customHeight="1" x14ac:dyDescent="0.15">
      <c r="B119" s="72"/>
      <c r="C119" s="168"/>
      <c r="D119" s="74"/>
      <c r="E119" s="74"/>
      <c r="F119" s="75"/>
      <c r="H119" s="72"/>
      <c r="I119" s="73"/>
      <c r="J119" s="74"/>
      <c r="K119" s="74"/>
      <c r="L119" s="75"/>
    </row>
    <row r="120" spans="2:12" s="25" customFormat="1" ht="12.75" hidden="1" customHeight="1" x14ac:dyDescent="0.15">
      <c r="B120" s="57" t="s">
        <v>69</v>
      </c>
      <c r="C120" s="261">
        <f>C110*C115</f>
        <v>1150</v>
      </c>
      <c r="D120" s="54" t="s">
        <v>124</v>
      </c>
      <c r="E120" s="76" t="s">
        <v>88</v>
      </c>
      <c r="F120" s="56"/>
      <c r="H120" s="57" t="s">
        <v>69</v>
      </c>
      <c r="I120" s="269">
        <f>I110*I115</f>
        <v>1150</v>
      </c>
      <c r="J120" s="54" t="s">
        <v>124</v>
      </c>
      <c r="K120" s="76" t="s">
        <v>88</v>
      </c>
      <c r="L120" s="56"/>
    </row>
    <row r="121" spans="2:12" s="80" customFormat="1" ht="14" hidden="1" thickBot="1" x14ac:dyDescent="0.2">
      <c r="B121" s="77" t="s">
        <v>130</v>
      </c>
      <c r="C121" s="259">
        <f>2^(HEX2DEC(E121)-4)</f>
        <v>1</v>
      </c>
      <c r="D121" s="78" t="s">
        <v>115</v>
      </c>
      <c r="E121" s="22">
        <v>4</v>
      </c>
      <c r="F121" s="79" t="s">
        <v>131</v>
      </c>
      <c r="H121" s="77" t="s">
        <v>77</v>
      </c>
      <c r="I121" s="259">
        <f>2^(HEX2DEC(K121)-4)</f>
        <v>1</v>
      </c>
      <c r="J121" s="78" t="s">
        <v>115</v>
      </c>
      <c r="K121" s="22">
        <v>4</v>
      </c>
      <c r="L121" s="79" t="s">
        <v>74</v>
      </c>
    </row>
    <row r="122" spans="2:12" ht="8.25" hidden="1" customHeight="1" thickBot="1" x14ac:dyDescent="0.2">
      <c r="B122" s="81"/>
      <c r="C122" s="43"/>
      <c r="D122" s="43"/>
      <c r="E122" s="43"/>
      <c r="F122" s="82"/>
      <c r="H122" s="45"/>
      <c r="I122" s="43"/>
      <c r="J122" s="43"/>
      <c r="K122" s="43"/>
      <c r="L122" s="46"/>
    </row>
    <row r="123" spans="2:12" s="52" customFormat="1" ht="13.5" hidden="1" customHeight="1" thickBot="1" x14ac:dyDescent="0.2">
      <c r="B123" s="47" t="s">
        <v>87</v>
      </c>
      <c r="C123" s="48"/>
      <c r="D123" s="83"/>
      <c r="E123" s="84"/>
      <c r="F123" s="51"/>
      <c r="H123" s="47" t="s">
        <v>87</v>
      </c>
      <c r="I123" s="48"/>
      <c r="J123" s="83"/>
      <c r="K123" s="84"/>
      <c r="L123" s="51"/>
    </row>
    <row r="124" spans="2:12" s="25" customFormat="1" ht="24.75" hidden="1" customHeight="1" x14ac:dyDescent="0.15">
      <c r="B124" s="85" t="s">
        <v>76</v>
      </c>
      <c r="C124" s="86">
        <f>(C103/(C121*2))*(C110*C112/(C111+C112)/C102*1000*C104)*C105*(C115*C116/C102*C117)*C106</f>
        <v>20.444444444444446</v>
      </c>
      <c r="D124" s="24" t="s">
        <v>12</v>
      </c>
      <c r="E124" s="24"/>
      <c r="F124" s="87" t="s">
        <v>162</v>
      </c>
      <c r="H124" s="85" t="s">
        <v>76</v>
      </c>
      <c r="I124" s="86">
        <f>(I103/(I121*2))*(I110*I112/(I111+I112)/I102*1000*I104)*I105*(I115*I116/I102*I117)*I106</f>
        <v>20.444444444444443</v>
      </c>
      <c r="J124" s="24" t="s">
        <v>12</v>
      </c>
      <c r="K124" s="24"/>
      <c r="L124" s="87" t="s">
        <v>162</v>
      </c>
    </row>
    <row r="125" spans="2:12" s="25" customFormat="1" ht="26" hidden="1" x14ac:dyDescent="0.15">
      <c r="B125" s="88" t="s">
        <v>128</v>
      </c>
      <c r="C125" s="89">
        <f>1/2*C112/(C111+C112)*C116/1000*C103*C104/(C102/1000)*C117/(C102/1000)*C105*C106*1000*3600/C121</f>
        <v>64000.000000000015</v>
      </c>
      <c r="D125" s="90" t="s">
        <v>28</v>
      </c>
      <c r="E125" s="90"/>
      <c r="F125" s="91" t="s">
        <v>163</v>
      </c>
      <c r="H125" s="88" t="s">
        <v>78</v>
      </c>
      <c r="I125" s="89">
        <f>1/2*I112/(I111+I112)*I116/1000*I103*I104/(I102/1000)*I117/(I102/1000)*I105*I106*1000*3600/I121</f>
        <v>64000</v>
      </c>
      <c r="J125" s="90" t="s">
        <v>28</v>
      </c>
      <c r="K125" s="90"/>
      <c r="L125" s="91" t="s">
        <v>163</v>
      </c>
    </row>
    <row r="126" spans="2:12" s="25" customFormat="1" ht="15" hidden="1" x14ac:dyDescent="0.15">
      <c r="B126" s="92" t="s">
        <v>33</v>
      </c>
      <c r="C126" s="93">
        <f>3600*1000/C125</f>
        <v>56.249999999999986</v>
      </c>
      <c r="D126" s="24" t="s">
        <v>34</v>
      </c>
      <c r="E126" s="24"/>
      <c r="F126" s="56" t="s">
        <v>32</v>
      </c>
      <c r="H126" s="92" t="s">
        <v>33</v>
      </c>
      <c r="I126" s="93">
        <f>3600*1000/I125</f>
        <v>56.25</v>
      </c>
      <c r="J126" s="24" t="s">
        <v>34</v>
      </c>
      <c r="K126" s="24"/>
      <c r="L126" s="56" t="s">
        <v>32</v>
      </c>
    </row>
    <row r="127" spans="2:12" s="25" customFormat="1" ht="26.25" hidden="1" customHeight="1" x14ac:dyDescent="0.15">
      <c r="B127" s="94" t="s">
        <v>79</v>
      </c>
      <c r="C127" s="95">
        <f>(1+C111/C112)*C102^2/(C116*C104*C117*C105*C106*2^28)</f>
        <v>0.8185452315956353</v>
      </c>
      <c r="D127" s="24" t="s">
        <v>36</v>
      </c>
      <c r="E127" s="24"/>
      <c r="F127" s="87" t="s">
        <v>164</v>
      </c>
      <c r="H127" s="94" t="s">
        <v>79</v>
      </c>
      <c r="I127" s="95">
        <f>(1+I111/I112)*I102^2/(I116*I104*I117*I105*I106*2^28)</f>
        <v>0.8185452315956353</v>
      </c>
      <c r="J127" s="24" t="s">
        <v>36</v>
      </c>
      <c r="K127" s="24"/>
      <c r="L127" s="87" t="s">
        <v>164</v>
      </c>
    </row>
    <row r="128" spans="2:12" s="25" customFormat="1" ht="28.5" hidden="1" customHeight="1" x14ac:dyDescent="0.15">
      <c r="B128" s="96" t="s">
        <v>80</v>
      </c>
      <c r="C128" s="97">
        <f>(1+C111/C112)*C102^2/(C116*1*C104*C117*C105*C106*2^17*C103)</f>
        <v>0.21457672119140622</v>
      </c>
      <c r="D128" s="98" t="s">
        <v>38</v>
      </c>
      <c r="E128" s="98"/>
      <c r="F128" s="99" t="s">
        <v>165</v>
      </c>
      <c r="H128" s="96" t="s">
        <v>80</v>
      </c>
      <c r="I128" s="97">
        <f>(1+I111/I112)*I102^2/(I116*1*I104*I117*I105*I106*2^17*I103)</f>
        <v>0.21457672119140622</v>
      </c>
      <c r="J128" s="98" t="s">
        <v>38</v>
      </c>
      <c r="K128" s="98"/>
      <c r="L128" s="99" t="s">
        <v>165</v>
      </c>
    </row>
    <row r="129" spans="2:12" s="25" customFormat="1" ht="15" hidden="1" x14ac:dyDescent="0.15">
      <c r="B129" s="57" t="s">
        <v>39</v>
      </c>
      <c r="C129" s="100">
        <f>C128*2^32/3600/1000</f>
        <v>255.99999999999997</v>
      </c>
      <c r="D129" s="24" t="s">
        <v>17</v>
      </c>
      <c r="E129" s="24"/>
      <c r="F129" s="56" t="s">
        <v>40</v>
      </c>
      <c r="H129" s="57" t="s">
        <v>39</v>
      </c>
      <c r="I129" s="100">
        <f>I128*2^32/3600/1000</f>
        <v>255.99999999999997</v>
      </c>
      <c r="J129" s="24" t="s">
        <v>17</v>
      </c>
      <c r="K129" s="24"/>
      <c r="L129" s="56" t="s">
        <v>40</v>
      </c>
    </row>
    <row r="130" spans="2:12" s="25" customFormat="1" hidden="1" x14ac:dyDescent="0.15">
      <c r="B130" s="57" t="s">
        <v>81</v>
      </c>
      <c r="C130" s="101">
        <f>C129/C120*3600</f>
        <v>801.39130434782601</v>
      </c>
      <c r="D130" s="24" t="s">
        <v>41</v>
      </c>
      <c r="E130" s="24"/>
      <c r="F130" s="56" t="s">
        <v>42</v>
      </c>
      <c r="H130" s="57" t="s">
        <v>81</v>
      </c>
      <c r="I130" s="101">
        <f>I129/I120*3600</f>
        <v>801.39130434782601</v>
      </c>
      <c r="J130" s="24" t="s">
        <v>41</v>
      </c>
      <c r="K130" s="24"/>
      <c r="L130" s="56" t="s">
        <v>42</v>
      </c>
    </row>
    <row r="131" spans="2:12" s="25" customFormat="1" hidden="1" x14ac:dyDescent="0.15">
      <c r="B131" s="186" t="s">
        <v>43</v>
      </c>
      <c r="C131" s="266">
        <f>C129/C149*3600</f>
        <v>76.8</v>
      </c>
      <c r="D131" s="98" t="s">
        <v>41</v>
      </c>
      <c r="E131" s="188"/>
      <c r="F131" s="190"/>
      <c r="H131" s="186" t="s">
        <v>43</v>
      </c>
      <c r="I131" s="266">
        <f>I129/I149*3600</f>
        <v>76.8</v>
      </c>
      <c r="J131" s="98" t="s">
        <v>41</v>
      </c>
      <c r="K131" s="188"/>
      <c r="L131" s="190"/>
    </row>
    <row r="132" spans="2:12" ht="8.25" hidden="1" customHeight="1" x14ac:dyDescent="0.15">
      <c r="B132" s="103"/>
      <c r="C132" s="44"/>
      <c r="D132" s="44"/>
      <c r="E132" s="44"/>
      <c r="F132" s="46"/>
      <c r="H132" s="103"/>
      <c r="I132" s="44"/>
      <c r="J132" s="44"/>
      <c r="K132" s="44"/>
      <c r="L132" s="46"/>
    </row>
    <row r="133" spans="2:12" ht="12" hidden="1" customHeight="1" x14ac:dyDescent="0.15">
      <c r="B133" s="104" t="s">
        <v>71</v>
      </c>
      <c r="C133" s="105">
        <f>0.5*C102/(C104*2^0.5)*(C111+C112)/C112/1000</f>
        <v>347.74759257497823</v>
      </c>
      <c r="D133" s="107" t="s">
        <v>4</v>
      </c>
      <c r="E133" s="107"/>
      <c r="F133" s="108" t="s">
        <v>91</v>
      </c>
      <c r="H133" s="104" t="s">
        <v>71</v>
      </c>
      <c r="I133" s="105">
        <f>0.5*I102/(I104*2^0.5)*(I111+I112)/I112/1000</f>
        <v>237.91053047429457</v>
      </c>
      <c r="J133" s="107" t="s">
        <v>4</v>
      </c>
      <c r="K133" s="107"/>
      <c r="L133" s="108" t="s">
        <v>91</v>
      </c>
    </row>
    <row r="134" spans="2:12" ht="15" hidden="1" x14ac:dyDescent="0.15">
      <c r="B134" s="110" t="s">
        <v>65</v>
      </c>
      <c r="C134" s="111">
        <f>0.5*C102/(C117*2^0.5*C116)</f>
        <v>60.470637685935458</v>
      </c>
      <c r="D134" s="16" t="s">
        <v>5</v>
      </c>
      <c r="E134" s="16"/>
      <c r="F134" s="113" t="s">
        <v>67</v>
      </c>
      <c r="H134" s="110" t="s">
        <v>65</v>
      </c>
      <c r="I134" s="111">
        <f>0.5*I102/(I117*2^0.5*I116)</f>
        <v>88.388347648318444</v>
      </c>
      <c r="J134" s="16" t="s">
        <v>5</v>
      </c>
      <c r="K134" s="16"/>
      <c r="L134" s="113" t="s">
        <v>67</v>
      </c>
    </row>
    <row r="135" spans="2:12" ht="15" hidden="1" x14ac:dyDescent="0.15">
      <c r="B135" s="96" t="s">
        <v>66</v>
      </c>
      <c r="C135" s="118">
        <f>C102/(C106*C117*2^15*C116*C107)*1000</f>
        <v>5.9652898954240738</v>
      </c>
      <c r="D135" s="114" t="s">
        <v>49</v>
      </c>
      <c r="E135" s="114"/>
      <c r="F135" s="113" t="s">
        <v>136</v>
      </c>
      <c r="H135" s="96" t="s">
        <v>66</v>
      </c>
      <c r="I135" s="118">
        <f>I102/(I106*I117*2^15*I116*I107)*1000</f>
        <v>8.7193080357142865</v>
      </c>
      <c r="J135" s="114" t="s">
        <v>49</v>
      </c>
      <c r="K135" s="114"/>
      <c r="L135" s="113" t="s">
        <v>136</v>
      </c>
    </row>
    <row r="136" spans="2:12" hidden="1" x14ac:dyDescent="0.15">
      <c r="B136" s="104" t="s">
        <v>82</v>
      </c>
      <c r="C136" s="273">
        <f>C102/(C106*C117*2^15*C116*C107)*1000</f>
        <v>5.9652898954240738</v>
      </c>
      <c r="D136" s="107" t="s">
        <v>49</v>
      </c>
      <c r="E136" s="107"/>
      <c r="F136" s="116" t="s">
        <v>136</v>
      </c>
      <c r="H136" s="104" t="s">
        <v>82</v>
      </c>
      <c r="I136" s="273">
        <f>I102/(I106*I117*2^15*I116*I107)*1000</f>
        <v>8.7193080357142865</v>
      </c>
      <c r="J136" s="107" t="s">
        <v>49</v>
      </c>
      <c r="K136" s="107"/>
      <c r="L136" s="116" t="s">
        <v>136</v>
      </c>
    </row>
    <row r="137" spans="2:12" hidden="1" x14ac:dyDescent="0.15">
      <c r="B137" s="117" t="s">
        <v>70</v>
      </c>
      <c r="C137" s="118">
        <f>C102*(1+C111/C112)/(C105*C104*2^15)</f>
        <v>34.304503466945292</v>
      </c>
      <c r="D137" s="114" t="s">
        <v>16</v>
      </c>
      <c r="E137" s="114"/>
      <c r="F137" s="115" t="s">
        <v>137</v>
      </c>
      <c r="H137" s="117" t="s">
        <v>70</v>
      </c>
      <c r="I137" s="118">
        <f>I102*(1+I111/I112)/(I105*I104*2^15)</f>
        <v>23.469328880310059</v>
      </c>
      <c r="J137" s="114" t="s">
        <v>16</v>
      </c>
      <c r="K137" s="114"/>
      <c r="L137" s="115" t="s">
        <v>137</v>
      </c>
    </row>
    <row r="138" spans="2:12" hidden="1" x14ac:dyDescent="0.15">
      <c r="B138" s="103"/>
      <c r="C138" s="44"/>
      <c r="D138" s="44"/>
      <c r="E138" s="44"/>
      <c r="F138" s="46"/>
      <c r="H138" s="103"/>
      <c r="I138" s="44"/>
      <c r="J138" s="44"/>
      <c r="K138" s="44"/>
      <c r="L138" s="46"/>
    </row>
    <row r="139" spans="2:12" ht="12.75" hidden="1" customHeight="1" x14ac:dyDescent="0.2">
      <c r="B139" s="169" t="s">
        <v>104</v>
      </c>
      <c r="C139" s="262">
        <v>300</v>
      </c>
      <c r="D139" s="120" t="s">
        <v>4</v>
      </c>
      <c r="E139" s="120"/>
      <c r="F139" s="121" t="s">
        <v>19</v>
      </c>
      <c r="H139" s="169" t="s">
        <v>104</v>
      </c>
      <c r="I139" s="262">
        <v>300</v>
      </c>
      <c r="J139" s="120" t="s">
        <v>4</v>
      </c>
      <c r="K139" s="120"/>
      <c r="L139" s="121" t="s">
        <v>19</v>
      </c>
    </row>
    <row r="140" spans="2:12" ht="12.75" hidden="1" customHeight="1" x14ac:dyDescent="0.2">
      <c r="B140" s="170" t="s">
        <v>105</v>
      </c>
      <c r="C140" s="171">
        <f>C139*2^0.5</f>
        <v>424.26406871192853</v>
      </c>
      <c r="D140" s="26" t="s">
        <v>4</v>
      </c>
      <c r="E140" s="26"/>
      <c r="F140" s="38" t="s">
        <v>47</v>
      </c>
      <c r="H140" s="170" t="s">
        <v>105</v>
      </c>
      <c r="I140" s="171">
        <f>I139*2^0.5</f>
        <v>424.26406871192853</v>
      </c>
      <c r="J140" s="26" t="s">
        <v>4</v>
      </c>
      <c r="K140" s="26"/>
      <c r="L140" s="38" t="s">
        <v>47</v>
      </c>
    </row>
    <row r="141" spans="2:12" ht="12.75" hidden="1" customHeight="1" x14ac:dyDescent="0.2">
      <c r="B141" s="170" t="s">
        <v>106</v>
      </c>
      <c r="C141" s="171">
        <f>C140*C112/(C111+C112)*1000</f>
        <v>258.80840564149986</v>
      </c>
      <c r="D141" s="26" t="s">
        <v>16</v>
      </c>
      <c r="E141" s="26"/>
      <c r="F141" s="38" t="s">
        <v>21</v>
      </c>
      <c r="H141" s="170" t="s">
        <v>106</v>
      </c>
      <c r="I141" s="171">
        <f>I140*I112/(I111+I112)*1000</f>
        <v>378.29346948442105</v>
      </c>
      <c r="J141" s="26" t="s">
        <v>16</v>
      </c>
      <c r="K141" s="26"/>
      <c r="L141" s="38" t="s">
        <v>21</v>
      </c>
    </row>
    <row r="142" spans="2:12" s="25" customFormat="1" ht="24.75" hidden="1" customHeight="1" x14ac:dyDescent="0.15">
      <c r="B142" s="172" t="s">
        <v>107</v>
      </c>
      <c r="C142" s="256">
        <f>C141/$C$102*C104</f>
        <v>0.43134734273583308</v>
      </c>
      <c r="D142" s="98"/>
      <c r="E142" s="98"/>
      <c r="F142" s="127" t="s">
        <v>75</v>
      </c>
      <c r="H142" s="172" t="s">
        <v>107</v>
      </c>
      <c r="I142" s="256">
        <f>I141/$C$102*I104</f>
        <v>0.63048911580736844</v>
      </c>
      <c r="J142" s="98"/>
      <c r="K142" s="98"/>
      <c r="L142" s="127" t="s">
        <v>75</v>
      </c>
    </row>
    <row r="143" spans="2:12" ht="5.25" hidden="1" customHeight="1" x14ac:dyDescent="0.15">
      <c r="B143" s="173"/>
      <c r="C143" s="129"/>
      <c r="D143" s="43"/>
      <c r="E143" s="43"/>
      <c r="F143" s="46"/>
      <c r="H143" s="173"/>
      <c r="I143" s="129"/>
      <c r="J143" s="43"/>
      <c r="K143" s="43"/>
      <c r="L143" s="46"/>
    </row>
    <row r="144" spans="2:12" ht="12.75" hidden="1" customHeight="1" x14ac:dyDescent="0.2">
      <c r="B144" s="169" t="s">
        <v>108</v>
      </c>
      <c r="C144" s="263">
        <v>40</v>
      </c>
      <c r="D144" s="120" t="s">
        <v>5</v>
      </c>
      <c r="E144" s="120"/>
      <c r="F144" s="121" t="s">
        <v>51</v>
      </c>
      <c r="H144" s="169" t="s">
        <v>108</v>
      </c>
      <c r="I144" s="263">
        <v>40</v>
      </c>
      <c r="J144" s="120" t="s">
        <v>5</v>
      </c>
      <c r="K144" s="120"/>
      <c r="L144" s="121" t="s">
        <v>51</v>
      </c>
    </row>
    <row r="145" spans="2:13" ht="12.75" hidden="1" customHeight="1" x14ac:dyDescent="0.2">
      <c r="B145" s="170" t="s">
        <v>109</v>
      </c>
      <c r="C145" s="171">
        <f>C144*2^0.5</f>
        <v>56.568542494923804</v>
      </c>
      <c r="D145" s="26"/>
      <c r="E145" s="26"/>
      <c r="F145" s="38" t="s">
        <v>48</v>
      </c>
      <c r="H145" s="170" t="s">
        <v>109</v>
      </c>
      <c r="I145" s="171">
        <f>I144*2^0.5</f>
        <v>56.568542494923804</v>
      </c>
      <c r="J145" s="26"/>
      <c r="K145" s="26"/>
      <c r="L145" s="38" t="s">
        <v>48</v>
      </c>
    </row>
    <row r="146" spans="2:13" ht="12.75" hidden="1" customHeight="1" x14ac:dyDescent="0.2">
      <c r="B146" s="170" t="s">
        <v>110</v>
      </c>
      <c r="C146" s="171">
        <f>C145*C116/1000*1000</f>
        <v>198.44341748674856</v>
      </c>
      <c r="D146" s="26" t="s">
        <v>16</v>
      </c>
      <c r="E146" s="26"/>
      <c r="F146" s="38" t="s">
        <v>23</v>
      </c>
      <c r="H146" s="170" t="s">
        <v>110</v>
      </c>
      <c r="I146" s="171">
        <f>I145*I116/1000*1000</f>
        <v>16.970562748477139</v>
      </c>
      <c r="J146" s="26" t="s">
        <v>16</v>
      </c>
      <c r="K146" s="26"/>
      <c r="L146" s="38" t="s">
        <v>23</v>
      </c>
    </row>
    <row r="147" spans="2:13" ht="13.5" hidden="1" customHeight="1" x14ac:dyDescent="0.2">
      <c r="B147" s="174" t="s">
        <v>111</v>
      </c>
      <c r="C147" s="256">
        <f>C146/$C$102*C117</f>
        <v>0.33073902914458092</v>
      </c>
      <c r="D147" s="132"/>
      <c r="E147" s="132"/>
      <c r="F147" s="133" t="s">
        <v>44</v>
      </c>
      <c r="H147" s="174" t="s">
        <v>111</v>
      </c>
      <c r="I147" s="256">
        <f>I146/$C$102*I117</f>
        <v>0.22627416997969518</v>
      </c>
      <c r="J147" s="132"/>
      <c r="K147" s="132"/>
      <c r="L147" s="133" t="s">
        <v>44</v>
      </c>
    </row>
    <row r="148" spans="2:13" ht="6" hidden="1" customHeight="1" x14ac:dyDescent="0.15">
      <c r="B148" s="175"/>
      <c r="C148" s="43"/>
      <c r="D148" s="43"/>
      <c r="E148" s="135"/>
      <c r="F148" s="46"/>
      <c r="H148" s="175"/>
      <c r="I148" s="43"/>
      <c r="J148" s="43"/>
      <c r="K148" s="135"/>
      <c r="L148" s="46"/>
    </row>
    <row r="149" spans="2:13" ht="12.75" hidden="1" customHeight="1" x14ac:dyDescent="0.15">
      <c r="B149" s="176" t="s">
        <v>37</v>
      </c>
      <c r="C149" s="171">
        <f>C140*C145/2</f>
        <v>12000</v>
      </c>
      <c r="D149" s="177" t="s">
        <v>25</v>
      </c>
      <c r="E149" s="120"/>
      <c r="F149" s="121" t="s">
        <v>24</v>
      </c>
      <c r="H149" s="176" t="s">
        <v>37</v>
      </c>
      <c r="I149" s="171">
        <f>I140*I145/2</f>
        <v>12000</v>
      </c>
      <c r="J149" s="177" t="s">
        <v>25</v>
      </c>
      <c r="K149" s="120"/>
      <c r="L149" s="121" t="s">
        <v>24</v>
      </c>
      <c r="M149" s="23" t="s">
        <v>13</v>
      </c>
    </row>
    <row r="150" spans="2:13" ht="15.75" hidden="1" customHeight="1" x14ac:dyDescent="0.2">
      <c r="B150" s="174" t="s">
        <v>112</v>
      </c>
      <c r="C150" s="257">
        <f>1/2*C142*C105*C147*C106</f>
        <v>5.461333333333334E-2</v>
      </c>
      <c r="D150" s="132"/>
      <c r="E150" s="132"/>
      <c r="F150" s="191" t="s">
        <v>166</v>
      </c>
      <c r="H150" s="174" t="s">
        <v>112</v>
      </c>
      <c r="I150" s="257">
        <f>1/2*I142*I105*I147*I106</f>
        <v>5.461333333333334E-2</v>
      </c>
      <c r="J150" s="132"/>
      <c r="K150" s="132"/>
      <c r="L150" s="191" t="s">
        <v>166</v>
      </c>
    </row>
    <row r="151" spans="2:13" ht="6.75" hidden="1" customHeight="1" x14ac:dyDescent="0.15">
      <c r="B151" s="173"/>
      <c r="C151" s="139"/>
      <c r="D151" s="43"/>
      <c r="E151" s="43"/>
      <c r="F151" s="46"/>
      <c r="H151" s="173"/>
      <c r="I151" s="139"/>
      <c r="J151" s="43"/>
      <c r="K151" s="43"/>
      <c r="L151" s="46"/>
    </row>
    <row r="152" spans="2:13" ht="16" hidden="1" thickBot="1" x14ac:dyDescent="0.25">
      <c r="B152" s="178" t="s">
        <v>113</v>
      </c>
      <c r="C152" s="179">
        <f>C150*$C$103/(C121*2)</f>
        <v>213.33333333333337</v>
      </c>
      <c r="D152" s="180" t="s">
        <v>12</v>
      </c>
      <c r="E152" s="180"/>
      <c r="F152" s="181" t="s">
        <v>46</v>
      </c>
      <c r="H152" s="178" t="s">
        <v>113</v>
      </c>
      <c r="I152" s="179">
        <f>I150*$C$103/(I121*2)</f>
        <v>213.33333333333337</v>
      </c>
      <c r="J152" s="180" t="s">
        <v>12</v>
      </c>
      <c r="K152" s="180"/>
      <c r="L152" s="181" t="s">
        <v>46</v>
      </c>
    </row>
  </sheetData>
  <sheetProtection formatCells="0"/>
  <mergeCells count="2">
    <mergeCell ref="B13:F13"/>
    <mergeCell ref="B12:F12"/>
  </mergeCells>
  <phoneticPr fontId="1" type="noConversion"/>
  <conditionalFormatting sqref="C142">
    <cfRule type="expression" dxfId="5" priority="80">
      <formula>C142&gt;50%</formula>
    </cfRule>
  </conditionalFormatting>
  <conditionalFormatting sqref="C147">
    <cfRule type="expression" dxfId="4" priority="79">
      <formula>C147&gt;50%</formula>
    </cfRule>
  </conditionalFormatting>
  <conditionalFormatting sqref="I142">
    <cfRule type="expression" dxfId="3" priority="76">
      <formula>I142&gt;50%</formula>
    </cfRule>
  </conditionalFormatting>
  <conditionalFormatting sqref="I147">
    <cfRule type="expression" dxfId="2" priority="75">
      <formula>I147&gt;50%</formula>
    </cfRule>
  </conditionalFormatting>
  <conditionalFormatting sqref="C64">
    <cfRule type="expression" dxfId="1" priority="2">
      <formula>C64&gt;50%</formula>
    </cfRule>
  </conditionalFormatting>
  <conditionalFormatting sqref="C69">
    <cfRule type="expression" dxfId="0" priority="1">
      <formula>C69&gt;50%</formula>
    </cfRule>
  </conditionalFormatting>
  <dataValidations disablePrompts="1" count="3">
    <dataValidation allowBlank="1" showInputMessage="1" showErrorMessage="1" sqref="E100:E101 K100:K101 K22:K23 E22:E23"/>
    <dataValidation type="list" allowBlank="1" showInputMessage="1" showErrorMessage="1" sqref="C117 I117 I39 C39">
      <formula1>"2,4,8,16"</formula1>
    </dataValidation>
    <dataValidation type="whole" allowBlank="1" showInputMessage="1" showErrorMessage="1" sqref="K43">
      <formula1>0</formula1>
      <formula2>15</formula2>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Group Box 1">
              <controlPr defaultSize="0" autoFill="0" autoPict="0">
                <anchor>
                  <from>
                    <xdr:col>0</xdr:col>
                    <xdr:colOff>25400</xdr:colOff>
                    <xdr:row>6</xdr:row>
                    <xdr:rowOff>254000</xdr:rowOff>
                  </from>
                  <to>
                    <xdr:col>5</xdr:col>
                    <xdr:colOff>4737100</xdr:colOff>
                    <xdr:row>9</xdr:row>
                    <xdr:rowOff>228600</xdr:rowOff>
                  </to>
                </anchor>
              </controlPr>
            </control>
          </mc:Choice>
          <mc:Fallback/>
        </mc:AlternateContent>
        <mc:AlternateContent xmlns:mc="http://schemas.openxmlformats.org/markup-compatibility/2006">
          <mc:Choice Requires="x14">
            <control shapeId="5122" r:id="rId5" name="Option Button 2">
              <controlPr locked="0" defaultSize="0" autoFill="0" autoLine="0" autoPict="0" macro="[0]!design_choice1">
                <anchor moveWithCells="1">
                  <from>
                    <xdr:col>1</xdr:col>
                    <xdr:colOff>38100</xdr:colOff>
                    <xdr:row>7</xdr:row>
                    <xdr:rowOff>76200</xdr:rowOff>
                  </from>
                  <to>
                    <xdr:col>3</xdr:col>
                    <xdr:colOff>381000</xdr:colOff>
                    <xdr:row>8</xdr:row>
                    <xdr:rowOff>63500</xdr:rowOff>
                  </to>
                </anchor>
              </controlPr>
            </control>
          </mc:Choice>
          <mc:Fallback/>
        </mc:AlternateContent>
        <mc:AlternateContent xmlns:mc="http://schemas.openxmlformats.org/markup-compatibility/2006">
          <mc:Choice Requires="x14">
            <control shapeId="5123" r:id="rId6" name="Option Button 3">
              <controlPr defaultSize="0" autoFill="0" autoLine="0" autoPict="0" macro="[0]!design_choice2">
                <anchor moveWithCells="1">
                  <from>
                    <xdr:col>1</xdr:col>
                    <xdr:colOff>63500</xdr:colOff>
                    <xdr:row>8</xdr:row>
                    <xdr:rowOff>63500</xdr:rowOff>
                  </from>
                  <to>
                    <xdr:col>4</xdr:col>
                    <xdr:colOff>330200</xdr:colOff>
                    <xdr:row>9</xdr:row>
                    <xdr:rowOff>76200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N75"/>
  <sheetViews>
    <sheetView tabSelected="1" topLeftCell="B4" workbookViewId="0">
      <selection activeCell="N29" sqref="N29"/>
    </sheetView>
  </sheetViews>
  <sheetFormatPr baseColWidth="10" defaultColWidth="8.83203125" defaultRowHeight="13" x14ac:dyDescent="0.15"/>
  <cols>
    <col min="1" max="1" width="2.6640625" style="23" customWidth="1"/>
    <col min="2" max="2" width="31.5" style="23" customWidth="1"/>
    <col min="3" max="3" width="13.6640625" style="23" customWidth="1"/>
    <col min="4" max="4" width="9.83203125" style="23" customWidth="1"/>
    <col min="5" max="5" width="11" style="23" customWidth="1"/>
    <col min="6" max="6" width="69" style="23" customWidth="1"/>
    <col min="7" max="7" width="2.6640625" style="23" customWidth="1"/>
    <col min="8" max="8" width="32.5" style="23" customWidth="1"/>
    <col min="9" max="9" width="17.1640625" style="23" bestFit="1" customWidth="1"/>
    <col min="10" max="10" width="9.5" style="23" customWidth="1"/>
    <col min="11" max="11" width="11.33203125" style="23" customWidth="1"/>
    <col min="12" max="12" width="62.5" style="23" customWidth="1"/>
    <col min="13" max="13" width="2.6640625" style="23" customWidth="1"/>
    <col min="14" max="14" width="9.83203125" style="23" bestFit="1" customWidth="1"/>
    <col min="15" max="16384" width="8.83203125" style="23"/>
  </cols>
  <sheetData>
    <row r="1" spans="1:14" ht="9" customHeight="1" x14ac:dyDescent="0.15"/>
    <row r="2" spans="1:14" s="198" customFormat="1" ht="17.25" customHeight="1" x14ac:dyDescent="0.15">
      <c r="A2" s="25"/>
      <c r="B2" s="199" t="s">
        <v>125</v>
      </c>
      <c r="C2" s="44"/>
      <c r="D2" s="23"/>
      <c r="E2" s="23"/>
      <c r="F2" s="197"/>
      <c r="G2" s="25"/>
      <c r="H2" s="199" t="s">
        <v>126</v>
      </c>
      <c r="I2" s="23"/>
      <c r="J2" s="23"/>
      <c r="K2" s="23"/>
      <c r="L2" s="197"/>
    </row>
    <row r="3" spans="1:14" ht="16.5" customHeight="1" x14ac:dyDescent="0.15">
      <c r="B3" s="44"/>
      <c r="C3" s="44"/>
      <c r="D3" s="43"/>
      <c r="E3" s="27"/>
      <c r="F3" s="44" t="s">
        <v>101</v>
      </c>
      <c r="H3" s="44"/>
      <c r="I3" s="44"/>
      <c r="J3" s="43"/>
      <c r="K3" s="44"/>
      <c r="L3" s="44"/>
    </row>
    <row r="4" spans="1:14" ht="15.75" customHeight="1" x14ac:dyDescent="0.15">
      <c r="B4" s="44"/>
      <c r="C4" s="44"/>
      <c r="D4" s="43"/>
      <c r="E4" s="28"/>
      <c r="F4" s="44" t="s">
        <v>147</v>
      </c>
      <c r="H4" s="44"/>
      <c r="I4" s="44"/>
      <c r="J4" s="43"/>
      <c r="K4" s="44"/>
      <c r="L4" s="44"/>
    </row>
    <row r="5" spans="1:14" ht="15.75" customHeight="1" x14ac:dyDescent="0.15">
      <c r="B5" s="44"/>
      <c r="C5" s="44"/>
      <c r="D5" s="43"/>
      <c r="E5" s="286"/>
      <c r="F5" s="44" t="s">
        <v>153</v>
      </c>
      <c r="H5" s="44"/>
      <c r="I5" s="44"/>
      <c r="J5" s="43"/>
      <c r="K5" s="44"/>
      <c r="L5" s="44"/>
    </row>
    <row r="6" spans="1:14" ht="15" customHeight="1" x14ac:dyDescent="0.15">
      <c r="B6" s="44"/>
      <c r="C6" s="44"/>
      <c r="D6" s="43"/>
      <c r="E6" s="30"/>
      <c r="F6" s="44" t="s">
        <v>155</v>
      </c>
      <c r="H6" s="44">
        <f>C22*C21/C20</f>
        <v>0.13345679012345679</v>
      </c>
      <c r="I6" s="44"/>
      <c r="J6" s="43"/>
      <c r="K6" s="44"/>
      <c r="L6" s="44"/>
    </row>
    <row r="7" spans="1:14" ht="15" customHeight="1" x14ac:dyDescent="0.15">
      <c r="B7" s="44"/>
      <c r="C7" s="44"/>
      <c r="D7" s="43"/>
      <c r="E7" s="29"/>
      <c r="F7" s="44" t="s">
        <v>123</v>
      </c>
      <c r="H7" s="44"/>
      <c r="I7" s="44"/>
      <c r="J7" s="43"/>
      <c r="K7" s="44"/>
      <c r="L7" s="44"/>
    </row>
    <row r="8" spans="1:14" ht="7.5" customHeight="1" thickBot="1" x14ac:dyDescent="0.2">
      <c r="B8" s="44"/>
      <c r="C8" s="44"/>
      <c r="D8" s="43"/>
      <c r="E8" s="43"/>
      <c r="F8" s="44"/>
      <c r="H8" s="44"/>
      <c r="I8" s="44"/>
      <c r="J8" s="43"/>
      <c r="K8" s="43"/>
      <c r="L8" s="44"/>
    </row>
    <row r="9" spans="1:14" ht="13.5" customHeight="1" thickBot="1" x14ac:dyDescent="0.2">
      <c r="B9" s="31" t="s">
        <v>83</v>
      </c>
      <c r="C9" s="32"/>
      <c r="D9" s="33"/>
      <c r="E9" s="34"/>
      <c r="F9" s="35"/>
      <c r="H9" s="31" t="s">
        <v>83</v>
      </c>
      <c r="I9" s="32"/>
      <c r="J9" s="33"/>
      <c r="K9" s="34"/>
      <c r="L9" s="35"/>
    </row>
    <row r="10" spans="1:14" x14ac:dyDescent="0.15">
      <c r="B10" s="36" t="s">
        <v>14</v>
      </c>
      <c r="C10" s="20" t="s">
        <v>18</v>
      </c>
      <c r="D10" s="26"/>
      <c r="E10" s="37"/>
      <c r="F10" s="38"/>
      <c r="H10" s="36" t="s">
        <v>14</v>
      </c>
      <c r="I10" s="20" t="s">
        <v>18</v>
      </c>
      <c r="J10" s="26"/>
      <c r="K10" s="37"/>
      <c r="L10" s="38"/>
    </row>
    <row r="11" spans="1:14" ht="8.25" customHeight="1" thickBot="1" x14ac:dyDescent="0.2">
      <c r="B11" s="36"/>
      <c r="C11" s="26"/>
      <c r="D11" s="26"/>
      <c r="E11" s="37"/>
      <c r="F11" s="38"/>
      <c r="H11" s="36"/>
      <c r="I11" s="26"/>
      <c r="J11" s="26"/>
      <c r="K11" s="37"/>
      <c r="L11" s="38"/>
    </row>
    <row r="12" spans="1:14" ht="12.75" customHeight="1" x14ac:dyDescent="0.15">
      <c r="B12" s="36" t="s">
        <v>11</v>
      </c>
      <c r="C12" s="21">
        <v>1180</v>
      </c>
      <c r="D12" s="26" t="s">
        <v>16</v>
      </c>
      <c r="E12" s="26"/>
      <c r="F12" s="38" t="s">
        <v>1</v>
      </c>
      <c r="H12" s="36" t="s">
        <v>11</v>
      </c>
      <c r="I12" s="21">
        <v>1180</v>
      </c>
      <c r="J12" s="26" t="s">
        <v>16</v>
      </c>
      <c r="K12" s="26"/>
      <c r="L12" s="38" t="s">
        <v>1</v>
      </c>
      <c r="N12" s="23">
        <f>I12</f>
        <v>1180</v>
      </c>
    </row>
    <row r="13" spans="1:14" ht="12.75" customHeight="1" x14ac:dyDescent="0.15">
      <c r="B13" s="36" t="s">
        <v>35</v>
      </c>
      <c r="C13" s="18">
        <v>7812.5</v>
      </c>
      <c r="D13" s="26" t="s">
        <v>12</v>
      </c>
      <c r="E13" s="26"/>
      <c r="F13" s="38" t="s">
        <v>29</v>
      </c>
      <c r="H13" s="36" t="s">
        <v>35</v>
      </c>
      <c r="I13" s="18">
        <v>7812.5</v>
      </c>
      <c r="J13" s="26" t="s">
        <v>12</v>
      </c>
      <c r="K13" s="26"/>
      <c r="L13" s="38" t="s">
        <v>29</v>
      </c>
    </row>
    <row r="14" spans="1:14" ht="12.75" customHeight="1" x14ac:dyDescent="0.15">
      <c r="B14" s="36" t="s">
        <v>2</v>
      </c>
      <c r="C14" s="18">
        <v>2</v>
      </c>
      <c r="D14" s="26"/>
      <c r="E14" s="26"/>
      <c r="F14" s="38" t="s">
        <v>85</v>
      </c>
      <c r="H14" s="36" t="s">
        <v>2</v>
      </c>
      <c r="I14" s="18">
        <v>2</v>
      </c>
      <c r="J14" s="26"/>
      <c r="K14" s="26"/>
      <c r="L14" s="38" t="s">
        <v>85</v>
      </c>
    </row>
    <row r="15" spans="1:14" s="25" customFormat="1" ht="12.75" customHeight="1" x14ac:dyDescent="0.15">
      <c r="B15" s="57" t="s">
        <v>139</v>
      </c>
      <c r="C15" s="270">
        <f>0.875</f>
        <v>0.875</v>
      </c>
      <c r="D15" s="26"/>
      <c r="E15" s="26"/>
      <c r="F15" s="56"/>
      <c r="H15" s="57" t="s">
        <v>139</v>
      </c>
      <c r="I15" s="270">
        <f>0.875</f>
        <v>0.875</v>
      </c>
      <c r="J15" s="26"/>
      <c r="K15" s="26"/>
      <c r="L15" s="56"/>
      <c r="N15" s="25">
        <v>0.875</v>
      </c>
    </row>
    <row r="16" spans="1:14" s="25" customFormat="1" ht="12.75" customHeight="1" x14ac:dyDescent="0.15">
      <c r="B16" s="57" t="s">
        <v>140</v>
      </c>
      <c r="C16" s="270">
        <f>0.875</f>
        <v>0.875</v>
      </c>
      <c r="D16" s="26"/>
      <c r="E16" s="26"/>
      <c r="F16" s="56"/>
      <c r="H16" s="57" t="s">
        <v>140</v>
      </c>
      <c r="I16" s="270">
        <f>0.875</f>
        <v>0.875</v>
      </c>
      <c r="J16" s="26"/>
      <c r="K16" s="26"/>
      <c r="L16" s="56"/>
      <c r="N16" s="354">
        <f>I16</f>
        <v>0.875</v>
      </c>
    </row>
    <row r="17" spans="2:14" ht="12.75" customHeight="1" thickBot="1" x14ac:dyDescent="0.25">
      <c r="B17" s="39" t="s">
        <v>135</v>
      </c>
      <c r="C17" s="19">
        <v>1</v>
      </c>
      <c r="D17" s="40"/>
      <c r="E17" s="40"/>
      <c r="F17" s="41" t="s">
        <v>84</v>
      </c>
      <c r="H17" s="39" t="s">
        <v>135</v>
      </c>
      <c r="I17" s="19">
        <v>1</v>
      </c>
      <c r="J17" s="40"/>
      <c r="K17" s="40"/>
      <c r="L17" s="41" t="s">
        <v>84</v>
      </c>
      <c r="N17" s="23">
        <f>I17</f>
        <v>1</v>
      </c>
    </row>
    <row r="18" spans="2:14" ht="8.25" customHeight="1" thickBot="1" x14ac:dyDescent="0.2">
      <c r="B18" s="42"/>
      <c r="C18" s="43"/>
      <c r="D18" s="43"/>
      <c r="E18" s="43"/>
      <c r="F18" s="44"/>
      <c r="H18" s="45"/>
      <c r="I18" s="43"/>
      <c r="J18" s="43"/>
      <c r="K18" s="43"/>
      <c r="L18" s="46"/>
    </row>
    <row r="19" spans="2:14" s="52" customFormat="1" ht="13.5" customHeight="1" thickBot="1" x14ac:dyDescent="0.2">
      <c r="B19" s="47" t="s">
        <v>86</v>
      </c>
      <c r="C19" s="48"/>
      <c r="D19" s="49"/>
      <c r="E19" s="330" t="s">
        <v>88</v>
      </c>
      <c r="F19" s="51"/>
      <c r="H19" s="47" t="s">
        <v>86</v>
      </c>
      <c r="I19" s="48"/>
      <c r="J19" s="49"/>
      <c r="K19" s="330" t="s">
        <v>88</v>
      </c>
      <c r="L19" s="51"/>
    </row>
    <row r="20" spans="2:14" s="25" customFormat="1" ht="14.25" customHeight="1" x14ac:dyDescent="0.15">
      <c r="B20" s="57" t="s">
        <v>10</v>
      </c>
      <c r="C20" s="7">
        <v>810000</v>
      </c>
      <c r="D20" s="24" t="s">
        <v>7</v>
      </c>
      <c r="E20" s="58"/>
      <c r="F20" s="56" t="s">
        <v>20</v>
      </c>
      <c r="H20" s="57" t="s">
        <v>10</v>
      </c>
      <c r="I20" s="7">
        <v>810000</v>
      </c>
      <c r="J20" s="24" t="s">
        <v>7</v>
      </c>
      <c r="K20" s="58"/>
      <c r="L20" s="56" t="s">
        <v>20</v>
      </c>
    </row>
    <row r="21" spans="2:14" s="25" customFormat="1" ht="14.25" customHeight="1" x14ac:dyDescent="0.15">
      <c r="B21" s="110" t="s">
        <v>8</v>
      </c>
      <c r="C21" s="11">
        <v>470</v>
      </c>
      <c r="D21" s="24" t="s">
        <v>7</v>
      </c>
      <c r="E21" s="58"/>
      <c r="F21" s="56" t="s">
        <v>20</v>
      </c>
      <c r="H21" s="110" t="s">
        <v>8</v>
      </c>
      <c r="I21" s="11">
        <v>470</v>
      </c>
      <c r="J21" s="24" t="s">
        <v>7</v>
      </c>
      <c r="K21" s="58"/>
      <c r="L21" s="56" t="s">
        <v>20</v>
      </c>
    </row>
    <row r="22" spans="2:14" s="25" customFormat="1" ht="14.25" customHeight="1" x14ac:dyDescent="0.15">
      <c r="B22" s="69" t="s">
        <v>53</v>
      </c>
      <c r="C22" s="291">
        <v>230</v>
      </c>
      <c r="D22" s="54" t="s">
        <v>118</v>
      </c>
      <c r="E22" s="331" t="str">
        <f>DEC2HEX(C22/C24*1000)</f>
        <v>1951</v>
      </c>
      <c r="F22" s="56" t="s">
        <v>173</v>
      </c>
      <c r="H22" s="69" t="s">
        <v>53</v>
      </c>
      <c r="I22" s="291">
        <v>230</v>
      </c>
      <c r="J22" s="54" t="s">
        <v>118</v>
      </c>
      <c r="K22" s="331" t="str">
        <f>DEC2HEX(I22/I24*1000)</f>
        <v>1951</v>
      </c>
      <c r="L22" s="56" t="s">
        <v>19</v>
      </c>
    </row>
    <row r="23" spans="2:14" s="25" customFormat="1" ht="14.25" customHeight="1" x14ac:dyDescent="0.15">
      <c r="B23" s="275" t="s">
        <v>138</v>
      </c>
      <c r="C23" s="295">
        <f>HEX2DEC(E23)*C24/1000</f>
        <v>202.75582762929807</v>
      </c>
      <c r="D23" s="296" t="s">
        <v>200</v>
      </c>
      <c r="E23" s="331">
        <v>1652</v>
      </c>
      <c r="F23" s="297" t="s">
        <v>172</v>
      </c>
      <c r="G23" s="298"/>
      <c r="H23" s="275" t="s">
        <v>138</v>
      </c>
      <c r="I23" s="295">
        <f>HEX2DEC(K23)*I24/1000</f>
        <v>202.75582762929807</v>
      </c>
      <c r="J23" s="296" t="s">
        <v>200</v>
      </c>
      <c r="K23" s="331">
        <v>1652</v>
      </c>
      <c r="L23" s="297" t="s">
        <v>156</v>
      </c>
    </row>
    <row r="24" spans="2:14" x14ac:dyDescent="0.15">
      <c r="B24" s="110" t="s">
        <v>205</v>
      </c>
      <c r="C24" s="14">
        <f>C12*(1+C20/C21)/(C15*C14*2^15)</f>
        <v>35.484044037329028</v>
      </c>
      <c r="D24" s="36" t="s">
        <v>16</v>
      </c>
      <c r="E24" s="332"/>
      <c r="F24" s="113" t="s">
        <v>137</v>
      </c>
      <c r="H24" s="110" t="s">
        <v>70</v>
      </c>
      <c r="I24" s="353">
        <f>I12*(1+I20/I21)/(I15*I14*2^15)</f>
        <v>35.484044037329028</v>
      </c>
      <c r="J24" s="36" t="s">
        <v>16</v>
      </c>
      <c r="K24" s="332"/>
      <c r="L24" s="113" t="s">
        <v>137</v>
      </c>
    </row>
    <row r="25" spans="2:14" x14ac:dyDescent="0.15">
      <c r="B25" s="110" t="s">
        <v>204</v>
      </c>
      <c r="C25" s="352">
        <f>C12*(1+C20/C21)/(C15*C14*2^23)</f>
        <v>0.13860954702081651</v>
      </c>
      <c r="D25" s="36" t="s">
        <v>16</v>
      </c>
      <c r="E25" s="332"/>
      <c r="F25" s="113" t="s">
        <v>206</v>
      </c>
      <c r="H25" s="57"/>
      <c r="I25" s="97"/>
      <c r="J25" s="112"/>
      <c r="K25" s="332"/>
      <c r="L25" s="113"/>
    </row>
    <row r="26" spans="2:14" s="25" customFormat="1" ht="14.25" customHeight="1" x14ac:dyDescent="0.15">
      <c r="B26" s="59" t="s">
        <v>57</v>
      </c>
      <c r="C26" s="274">
        <f>(C22*C21/(C20+C21))*1000/$C$12*C14</f>
        <v>0.22606677481344267</v>
      </c>
      <c r="D26" s="24"/>
      <c r="E26" s="332"/>
      <c r="F26" s="56" t="s">
        <v>54</v>
      </c>
      <c r="H26" s="59" t="s">
        <v>57</v>
      </c>
      <c r="I26" s="274">
        <f>(I22*I21/(I20+I21))*1000/$C$12*I14</f>
        <v>0.22606677481344267</v>
      </c>
      <c r="J26" s="24"/>
      <c r="K26" s="332"/>
      <c r="L26" s="56" t="s">
        <v>54</v>
      </c>
    </row>
    <row r="27" spans="2:14" ht="6" customHeight="1" x14ac:dyDescent="0.15">
      <c r="B27" s="60"/>
      <c r="C27" s="61"/>
      <c r="D27" s="62"/>
      <c r="E27" s="333"/>
      <c r="F27" s="64"/>
      <c r="H27" s="65"/>
      <c r="I27" s="66"/>
      <c r="J27" s="62"/>
      <c r="K27" s="333"/>
      <c r="L27" s="67"/>
    </row>
    <row r="28" spans="2:14" s="306" customFormat="1" ht="12.75" customHeight="1" x14ac:dyDescent="0.15">
      <c r="B28" s="302" t="s">
        <v>22</v>
      </c>
      <c r="C28" s="11">
        <v>2.4</v>
      </c>
      <c r="D28" s="303" t="s">
        <v>9</v>
      </c>
      <c r="E28" s="334"/>
      <c r="F28" s="305" t="s">
        <v>146</v>
      </c>
      <c r="H28" s="302" t="s">
        <v>22</v>
      </c>
      <c r="I28" s="11">
        <v>0.3</v>
      </c>
      <c r="J28" s="303" t="s">
        <v>9</v>
      </c>
      <c r="K28" s="334"/>
      <c r="L28" s="305" t="s">
        <v>89</v>
      </c>
      <c r="N28" s="306">
        <f>I28</f>
        <v>0.3</v>
      </c>
    </row>
    <row r="29" spans="2:14" s="25" customFormat="1" ht="12.75" customHeight="1" x14ac:dyDescent="0.15">
      <c r="B29" s="57" t="s">
        <v>0</v>
      </c>
      <c r="C29" s="292">
        <v>16</v>
      </c>
      <c r="D29" s="24"/>
      <c r="E29" s="332"/>
      <c r="F29" s="56" t="s">
        <v>73</v>
      </c>
      <c r="H29" s="57" t="s">
        <v>0</v>
      </c>
      <c r="I29" s="292">
        <v>16</v>
      </c>
      <c r="J29" s="24"/>
      <c r="K29" s="332"/>
      <c r="L29" s="56" t="s">
        <v>73</v>
      </c>
      <c r="N29" s="25">
        <f>I29</f>
        <v>16</v>
      </c>
    </row>
    <row r="30" spans="2:14" s="25" customFormat="1" ht="12.75" customHeight="1" x14ac:dyDescent="0.15">
      <c r="B30" s="69" t="s">
        <v>62</v>
      </c>
      <c r="C30" s="345">
        <v>5</v>
      </c>
      <c r="D30" s="54" t="s">
        <v>117</v>
      </c>
      <c r="E30" s="335" t="str">
        <f>DEC2HEX(C30/C32*1000)</f>
        <v>48E5</v>
      </c>
      <c r="F30" s="56" t="s">
        <v>174</v>
      </c>
      <c r="H30" s="69" t="s">
        <v>62</v>
      </c>
      <c r="I30" s="10">
        <v>20</v>
      </c>
      <c r="J30" s="54" t="s">
        <v>117</v>
      </c>
      <c r="K30" s="335" t="str">
        <f>DEC2HEX(I30/I32*1000)</f>
        <v>2472</v>
      </c>
      <c r="L30" s="56" t="s">
        <v>15</v>
      </c>
    </row>
    <row r="31" spans="2:14" s="25" customFormat="1" ht="12.75" customHeight="1" x14ac:dyDescent="0.15">
      <c r="B31" s="275" t="s">
        <v>138</v>
      </c>
      <c r="C31" s="329">
        <f>HEX2DEC(E31)*C32/1000</f>
        <v>6.8591889880952384E-2</v>
      </c>
      <c r="D31" s="296" t="s">
        <v>201</v>
      </c>
      <c r="E31" s="336" t="s">
        <v>199</v>
      </c>
      <c r="F31" s="297" t="s">
        <v>175</v>
      </c>
      <c r="G31" s="298"/>
      <c r="H31" s="275" t="s">
        <v>138</v>
      </c>
      <c r="I31" s="329">
        <f>HEX2DEC(K31)*I32/1000</f>
        <v>0.54873511904761907</v>
      </c>
      <c r="J31" s="296" t="s">
        <v>201</v>
      </c>
      <c r="K31" s="336" t="s">
        <v>199</v>
      </c>
      <c r="L31" s="297" t="s">
        <v>157</v>
      </c>
    </row>
    <row r="32" spans="2:14" x14ac:dyDescent="0.15">
      <c r="B32" s="110" t="s">
        <v>82</v>
      </c>
      <c r="C32" s="14">
        <f>C12/(C16*C29*2^17*C28*C17)*1000</f>
        <v>0.26793706984747023</v>
      </c>
      <c r="D32" s="36" t="s">
        <v>49</v>
      </c>
      <c r="E32" s="337"/>
      <c r="F32" s="113" t="s">
        <v>197</v>
      </c>
      <c r="H32" s="110" t="s">
        <v>82</v>
      </c>
      <c r="I32" s="14">
        <f>I12/(I16*I29*2^17*I28*I17)*1000</f>
        <v>2.1434965587797619</v>
      </c>
      <c r="J32" s="36" t="s">
        <v>49</v>
      </c>
      <c r="K32" s="337"/>
      <c r="L32" s="113" t="s">
        <v>197</v>
      </c>
      <c r="N32" s="355">
        <f>N12/(N16*N29*2^23*N28*N17)*1000</f>
        <v>3.3492133730933779E-2</v>
      </c>
    </row>
    <row r="33" spans="2:12" s="25" customFormat="1" ht="12.75" customHeight="1" x14ac:dyDescent="0.15">
      <c r="B33" s="59" t="s">
        <v>63</v>
      </c>
      <c r="C33" s="200">
        <f>C30*C28/$C$12*C29</f>
        <v>0.16271186440677965</v>
      </c>
      <c r="D33" s="24"/>
      <c r="E33" s="332"/>
      <c r="F33" s="56" t="s">
        <v>119</v>
      </c>
      <c r="H33" s="59" t="s">
        <v>63</v>
      </c>
      <c r="I33" s="200">
        <f>I30*I28/$C$12*I29</f>
        <v>8.1355932203389825E-2</v>
      </c>
      <c r="J33" s="24"/>
      <c r="K33" s="332"/>
      <c r="L33" s="56" t="s">
        <v>119</v>
      </c>
    </row>
    <row r="34" spans="2:12" s="25" customFormat="1" ht="12.75" customHeight="1" thickBot="1" x14ac:dyDescent="0.2">
      <c r="B34" s="277" t="s">
        <v>77</v>
      </c>
      <c r="C34" s="294">
        <f>2^(HEX2DEC(E34)-4)</f>
        <v>1</v>
      </c>
      <c r="D34" s="102" t="s">
        <v>115</v>
      </c>
      <c r="E34" s="338">
        <v>4</v>
      </c>
      <c r="F34" s="79" t="s">
        <v>116</v>
      </c>
      <c r="H34" s="277" t="s">
        <v>77</v>
      </c>
      <c r="I34" s="294">
        <f>2^(HEX2DEC(K34)-4)</f>
        <v>1</v>
      </c>
      <c r="J34" s="102" t="s">
        <v>115</v>
      </c>
      <c r="K34" s="338">
        <v>4</v>
      </c>
      <c r="L34" s="79" t="s">
        <v>116</v>
      </c>
    </row>
    <row r="35" spans="2:12" ht="8.25" customHeight="1" thickBot="1" x14ac:dyDescent="0.2">
      <c r="B35" s="81"/>
      <c r="C35" s="43"/>
      <c r="D35" s="43"/>
      <c r="E35" s="339"/>
      <c r="F35" s="82"/>
      <c r="H35" s="45"/>
      <c r="I35" s="43"/>
      <c r="J35" s="43"/>
      <c r="K35" s="339"/>
      <c r="L35" s="279"/>
    </row>
    <row r="36" spans="2:12" s="52" customFormat="1" ht="13.5" customHeight="1" thickBot="1" x14ac:dyDescent="0.2">
      <c r="B36" s="47" t="s">
        <v>87</v>
      </c>
      <c r="C36" s="48"/>
      <c r="D36" s="83"/>
      <c r="E36" s="330" t="s">
        <v>88</v>
      </c>
      <c r="F36" s="51"/>
      <c r="H36" s="47" t="s">
        <v>87</v>
      </c>
      <c r="I36" s="48"/>
      <c r="J36" s="83"/>
      <c r="K36" s="330" t="s">
        <v>88</v>
      </c>
      <c r="L36" s="51"/>
    </row>
    <row r="37" spans="2:12" s="25" customFormat="1" ht="26" x14ac:dyDescent="0.15">
      <c r="B37" s="104" t="s">
        <v>78</v>
      </c>
      <c r="C37" s="280">
        <f>1/2*C21/(C20+C21)*C28/1000*C13*C14/(C12/1000)*C29/(C12/1000)*C15*C16*1000*3600/C34</f>
        <v>344379.07963129214</v>
      </c>
      <c r="D37" s="281" t="s">
        <v>28</v>
      </c>
      <c r="E37" s="340"/>
      <c r="F37" s="282" t="s">
        <v>141</v>
      </c>
      <c r="H37" s="104" t="s">
        <v>78</v>
      </c>
      <c r="I37" s="280">
        <f>1/2*I21/(I20+I21)*I28/1000*I13*I14/(I12/1000)*I29/(I12/1000)*I15*I16*1000*3600/I34</f>
        <v>43047.384953911518</v>
      </c>
      <c r="J37" s="281" t="s">
        <v>28</v>
      </c>
      <c r="K37" s="340"/>
      <c r="L37" s="282" t="s">
        <v>141</v>
      </c>
    </row>
    <row r="38" spans="2:12" s="25" customFormat="1" ht="15" x14ac:dyDescent="0.15">
      <c r="B38" s="117" t="s">
        <v>33</v>
      </c>
      <c r="C38" s="118">
        <f>3600*1000/C37</f>
        <v>10.453596669850919</v>
      </c>
      <c r="D38" s="98" t="s">
        <v>34</v>
      </c>
      <c r="E38" s="341"/>
      <c r="F38" s="283" t="s">
        <v>32</v>
      </c>
      <c r="H38" s="117" t="s">
        <v>33</v>
      </c>
      <c r="I38" s="118">
        <f>3600*1000/I37</f>
        <v>83.628773358807351</v>
      </c>
      <c r="J38" s="98" t="s">
        <v>34</v>
      </c>
      <c r="K38" s="341"/>
      <c r="L38" s="283" t="s">
        <v>32</v>
      </c>
    </row>
    <row r="39" spans="2:12" s="25" customFormat="1" ht="26.25" customHeight="1" x14ac:dyDescent="0.15">
      <c r="B39" s="104" t="s">
        <v>121</v>
      </c>
      <c r="C39" s="284">
        <f>(1+C20/C21)*C12^2/(C17*C14*C29*C28*C15*C16*2^28)</f>
        <v>0.15211985257120858</v>
      </c>
      <c r="D39" s="167" t="s">
        <v>36</v>
      </c>
      <c r="E39" s="340"/>
      <c r="F39" s="282" t="s">
        <v>142</v>
      </c>
      <c r="H39" s="104" t="s">
        <v>121</v>
      </c>
      <c r="I39" s="284">
        <f>(1+I20/I21)*I12^2/(I17*I14*I29*I28*I15*I16*2^28)</f>
        <v>1.2169588205696686</v>
      </c>
      <c r="J39" s="167" t="s">
        <v>36</v>
      </c>
      <c r="K39" s="340"/>
      <c r="L39" s="282" t="s">
        <v>142</v>
      </c>
    </row>
    <row r="40" spans="2:12" s="25" customFormat="1" ht="14.25" customHeight="1" x14ac:dyDescent="0.15">
      <c r="B40" s="69" t="s">
        <v>69</v>
      </c>
      <c r="C40" s="276">
        <f>C22*C30</f>
        <v>1150</v>
      </c>
      <c r="D40" s="54" t="s">
        <v>124</v>
      </c>
      <c r="E40" s="342" t="str">
        <f>DEC2HEX(C40/C39*1000)</f>
        <v>735A94</v>
      </c>
      <c r="F40" s="56" t="s">
        <v>149</v>
      </c>
      <c r="H40" s="69" t="s">
        <v>69</v>
      </c>
      <c r="I40" s="276">
        <f>I22*I30</f>
        <v>4600</v>
      </c>
      <c r="J40" s="54" t="s">
        <v>124</v>
      </c>
      <c r="K40" s="342" t="str">
        <f>DEC2HEX(I40/I39*1000)</f>
        <v>39AD4A</v>
      </c>
      <c r="L40" s="56" t="s">
        <v>149</v>
      </c>
    </row>
    <row r="41" spans="2:12" s="25" customFormat="1" ht="14.25" customHeight="1" x14ac:dyDescent="0.15">
      <c r="B41" s="299" t="s">
        <v>138</v>
      </c>
      <c r="C41" s="287">
        <f>HEX2DEC(E41)*C39/1000</f>
        <v>115.73719531190005</v>
      </c>
      <c r="D41" s="98" t="s">
        <v>202</v>
      </c>
      <c r="E41" s="343" t="s">
        <v>148</v>
      </c>
      <c r="F41" s="283" t="s">
        <v>150</v>
      </c>
      <c r="H41" s="299" t="s">
        <v>138</v>
      </c>
      <c r="I41" s="287">
        <f>HEX2DEC(K41)*I39/1000</f>
        <v>925.89756249520042</v>
      </c>
      <c r="J41" s="98" t="s">
        <v>202</v>
      </c>
      <c r="K41" s="343" t="s">
        <v>148</v>
      </c>
      <c r="L41" s="283" t="s">
        <v>150</v>
      </c>
    </row>
    <row r="42" spans="2:12" s="25" customFormat="1" ht="26.25" customHeight="1" x14ac:dyDescent="0.15">
      <c r="B42" s="104" t="s">
        <v>122</v>
      </c>
      <c r="C42" s="284">
        <f>(1+C20/C21)*C12^2/(C13*C17*C14*C29*C28*C15*C16*2^17)</f>
        <v>3.9877306632426904E-2</v>
      </c>
      <c r="D42" s="290" t="s">
        <v>38</v>
      </c>
      <c r="E42" s="340"/>
      <c r="F42" s="282" t="s">
        <v>143</v>
      </c>
      <c r="H42" s="104" t="s">
        <v>122</v>
      </c>
      <c r="I42" s="284">
        <f>(1+I20/I21)*I12^2/(I13*I17*I14*I29*I28*I15*I16*2^17)</f>
        <v>0.31901845305941523</v>
      </c>
      <c r="J42" s="290" t="s">
        <v>38</v>
      </c>
      <c r="K42" s="340"/>
      <c r="L42" s="282" t="s">
        <v>143</v>
      </c>
    </row>
    <row r="43" spans="2:12" s="25" customFormat="1" ht="14.25" customHeight="1" x14ac:dyDescent="0.15">
      <c r="B43" s="69" t="s">
        <v>151</v>
      </c>
      <c r="C43" s="276">
        <v>1200</v>
      </c>
      <c r="D43" s="54" t="s">
        <v>152</v>
      </c>
      <c r="E43" s="342" t="str">
        <f>DEC2HEX(C43/C42*1000*3600)</f>
        <v>19391B950D</v>
      </c>
      <c r="F43" s="56" t="s">
        <v>151</v>
      </c>
      <c r="H43" s="69" t="s">
        <v>151</v>
      </c>
      <c r="I43" s="276">
        <v>1200</v>
      </c>
      <c r="J43" s="54" t="s">
        <v>152</v>
      </c>
      <c r="K43" s="342" t="str">
        <f>DEC2HEX(I43/I42*1000*3600)</f>
        <v>3272372A1</v>
      </c>
      <c r="L43" s="56" t="s">
        <v>149</v>
      </c>
    </row>
    <row r="44" spans="2:12" s="298" customFormat="1" ht="14.25" customHeight="1" x14ac:dyDescent="0.15">
      <c r="B44" s="285" t="s">
        <v>138</v>
      </c>
      <c r="C44" s="295">
        <f>HEX2DEC(E44)*C42/1000/3600</f>
        <v>18.130208332960486</v>
      </c>
      <c r="D44" s="300" t="s">
        <v>203</v>
      </c>
      <c r="E44" s="344" t="s">
        <v>154</v>
      </c>
      <c r="F44" s="301" t="s">
        <v>158</v>
      </c>
      <c r="H44" s="285" t="s">
        <v>138</v>
      </c>
      <c r="I44" s="295">
        <f>HEX2DEC(K44)*I42/1000/3600</f>
        <v>145.04166666368388</v>
      </c>
      <c r="J44" s="300" t="s">
        <v>203</v>
      </c>
      <c r="K44" s="344" t="s">
        <v>154</v>
      </c>
      <c r="L44" s="301" t="s">
        <v>159</v>
      </c>
    </row>
    <row r="45" spans="2:12" s="25" customFormat="1" ht="15" x14ac:dyDescent="0.15">
      <c r="B45" s="185" t="s">
        <v>39</v>
      </c>
      <c r="C45" s="100">
        <f>C42*2^32/3600/1000</f>
        <v>47.575479955232623</v>
      </c>
      <c r="D45" s="167" t="s">
        <v>17</v>
      </c>
      <c r="E45" s="288"/>
      <c r="F45" s="68" t="s">
        <v>40</v>
      </c>
      <c r="H45" s="185" t="s">
        <v>39</v>
      </c>
      <c r="I45" s="100">
        <f>I42*2^32/3600/1000</f>
        <v>380.60383964186099</v>
      </c>
      <c r="J45" s="167" t="s">
        <v>17</v>
      </c>
      <c r="K45" s="288"/>
      <c r="L45" s="68" t="s">
        <v>40</v>
      </c>
    </row>
    <row r="46" spans="2:12" s="25" customFormat="1" x14ac:dyDescent="0.15">
      <c r="B46" s="57" t="s">
        <v>81</v>
      </c>
      <c r="C46" s="101">
        <f>ABS(C45/C40*3600)</f>
        <v>148.93193725116299</v>
      </c>
      <c r="D46" s="24" t="s">
        <v>41</v>
      </c>
      <c r="E46" s="70"/>
      <c r="F46" s="56" t="s">
        <v>120</v>
      </c>
      <c r="H46" s="57" t="s">
        <v>81</v>
      </c>
      <c r="I46" s="101">
        <f>ABS(I45/I40*3600)</f>
        <v>297.86387450232598</v>
      </c>
      <c r="J46" s="24" t="s">
        <v>41</v>
      </c>
      <c r="K46" s="70"/>
      <c r="L46" s="56" t="s">
        <v>120</v>
      </c>
    </row>
    <row r="47" spans="2:12" s="25" customFormat="1" x14ac:dyDescent="0.15">
      <c r="B47" s="186" t="s">
        <v>43</v>
      </c>
      <c r="C47" s="187">
        <f>ABS(C45/C63*3600)</f>
        <v>14.272643986569788</v>
      </c>
      <c r="D47" s="98" t="s">
        <v>41</v>
      </c>
      <c r="E47" s="289"/>
      <c r="F47" s="189" t="s">
        <v>42</v>
      </c>
      <c r="H47" s="186" t="s">
        <v>43</v>
      </c>
      <c r="I47" s="187">
        <f>ABS(I45/I63*3600)</f>
        <v>114.1811518925583</v>
      </c>
      <c r="J47" s="98" t="s">
        <v>41</v>
      </c>
      <c r="K47" s="289"/>
      <c r="L47" s="189" t="s">
        <v>42</v>
      </c>
    </row>
    <row r="48" spans="2:12" ht="8.25" customHeight="1" x14ac:dyDescent="0.15">
      <c r="B48" s="103"/>
      <c r="C48" s="44"/>
      <c r="D48" s="44"/>
      <c r="E48" s="44"/>
      <c r="F48" s="46"/>
      <c r="H48" s="103"/>
      <c r="I48" s="44"/>
      <c r="J48" s="44"/>
      <c r="K48" s="44"/>
      <c r="L48" s="46"/>
    </row>
    <row r="49" spans="2:13" ht="12" customHeight="1" x14ac:dyDescent="0.15">
      <c r="B49" s="104" t="s">
        <v>71</v>
      </c>
      <c r="C49" s="105">
        <f>0.5*C12/(C14*2^0.5)*(C20+C21)/C21/1000</f>
        <v>359.70469302071706</v>
      </c>
      <c r="D49" s="106" t="s">
        <v>4</v>
      </c>
      <c r="E49" s="107"/>
      <c r="F49" s="108" t="s">
        <v>198</v>
      </c>
      <c r="H49" s="104" t="s">
        <v>71</v>
      </c>
      <c r="I49" s="105">
        <f>0.5*I12/(I14*2^0.5)*(I20+I21)/I21/1000</f>
        <v>359.70469302071706</v>
      </c>
      <c r="J49" s="107" t="s">
        <v>4</v>
      </c>
      <c r="K49" s="107"/>
      <c r="L49" s="109" t="s">
        <v>72</v>
      </c>
    </row>
    <row r="50" spans="2:13" ht="15" x14ac:dyDescent="0.15">
      <c r="B50" s="110" t="s">
        <v>65</v>
      </c>
      <c r="C50" s="111">
        <f>0.5*C12/(C29*2^0.5*C28)</f>
        <v>10.864401065105808</v>
      </c>
      <c r="D50" s="112" t="s">
        <v>5</v>
      </c>
      <c r="E50" s="16"/>
      <c r="F50" s="113" t="s">
        <v>67</v>
      </c>
      <c r="H50" s="110" t="s">
        <v>65</v>
      </c>
      <c r="I50" s="111">
        <f>0.5*I12/(I29*2^0.5*I28)</f>
        <v>86.915208520846463</v>
      </c>
      <c r="J50" s="16" t="s">
        <v>5</v>
      </c>
      <c r="K50" s="16"/>
      <c r="L50" s="113" t="s">
        <v>67</v>
      </c>
    </row>
    <row r="51" spans="2:13" s="25" customFormat="1" ht="24.75" customHeight="1" thickBot="1" x14ac:dyDescent="0.2">
      <c r="B51" s="182" t="s">
        <v>76</v>
      </c>
      <c r="C51" s="183">
        <f>ABS((C13/(C34*2))*(C22*C21/(C20+C21)/C12*1000*C14)*C15*(C30*C28/C12*C29)*C16)</f>
        <v>110.0099837711072</v>
      </c>
      <c r="D51" s="102" t="s">
        <v>12</v>
      </c>
      <c r="E51" s="102"/>
      <c r="F51" s="184" t="s">
        <v>144</v>
      </c>
      <c r="H51" s="182" t="s">
        <v>76</v>
      </c>
      <c r="I51" s="183">
        <f>ABS((I13/(I34*2))*(I22*I21/(I20+I21)/I12*1000*I14)*I15*(I30*I28/I12*I29)*I16)</f>
        <v>55.004991885553601</v>
      </c>
      <c r="J51" s="102" t="s">
        <v>12</v>
      </c>
      <c r="K51" s="102"/>
      <c r="L51" s="184" t="s">
        <v>144</v>
      </c>
    </row>
    <row r="52" spans="2:13" ht="14" thickBot="1" x14ac:dyDescent="0.2"/>
    <row r="53" spans="2:13" ht="12.75" customHeight="1" x14ac:dyDescent="0.2">
      <c r="B53" s="192" t="s">
        <v>52</v>
      </c>
      <c r="C53" s="271">
        <v>300</v>
      </c>
      <c r="D53" s="193" t="s">
        <v>4</v>
      </c>
      <c r="E53" s="193"/>
      <c r="F53" s="194" t="s">
        <v>19</v>
      </c>
      <c r="H53" s="192" t="s">
        <v>52</v>
      </c>
      <c r="I53" s="271">
        <v>300</v>
      </c>
      <c r="J53" s="193" t="s">
        <v>4</v>
      </c>
      <c r="K53" s="193"/>
      <c r="L53" s="194" t="s">
        <v>19</v>
      </c>
    </row>
    <row r="54" spans="2:13" ht="12.75" customHeight="1" x14ac:dyDescent="0.2">
      <c r="B54" s="122" t="s">
        <v>55</v>
      </c>
      <c r="C54" s="123">
        <f>C53*2^0.5</f>
        <v>424.26406871192853</v>
      </c>
      <c r="D54" s="26" t="s">
        <v>4</v>
      </c>
      <c r="E54" s="26"/>
      <c r="F54" s="38" t="s">
        <v>47</v>
      </c>
      <c r="H54" s="122" t="s">
        <v>55</v>
      </c>
      <c r="I54" s="123">
        <f>I53*2^0.5</f>
        <v>424.26406871192853</v>
      </c>
      <c r="J54" s="26" t="s">
        <v>4</v>
      </c>
      <c r="K54" s="26"/>
      <c r="L54" s="38" t="s">
        <v>47</v>
      </c>
    </row>
    <row r="55" spans="2:13" ht="12.75" customHeight="1" x14ac:dyDescent="0.2">
      <c r="B55" s="122" t="s">
        <v>58</v>
      </c>
      <c r="C55" s="124">
        <f>C54*C21/(C20+C21)*1000</f>
        <v>246.03515527361458</v>
      </c>
      <c r="D55" s="26" t="s">
        <v>16</v>
      </c>
      <c r="E55" s="26"/>
      <c r="F55" s="38" t="s">
        <v>21</v>
      </c>
      <c r="H55" s="122" t="s">
        <v>58</v>
      </c>
      <c r="I55" s="124">
        <f>I54*I21/(I20+I21)*1000</f>
        <v>246.03515527361458</v>
      </c>
      <c r="J55" s="26" t="s">
        <v>16</v>
      </c>
      <c r="K55" s="26"/>
      <c r="L55" s="38" t="s">
        <v>21</v>
      </c>
    </row>
    <row r="56" spans="2:13" s="25" customFormat="1" ht="18" customHeight="1" x14ac:dyDescent="0.15">
      <c r="B56" s="125" t="s">
        <v>56</v>
      </c>
      <c r="C56" s="126">
        <f>C55/$C$12*C14</f>
        <v>0.41700873775188912</v>
      </c>
      <c r="D56" s="98"/>
      <c r="E56" s="98"/>
      <c r="F56" s="127" t="s">
        <v>114</v>
      </c>
      <c r="H56" s="125" t="s">
        <v>56</v>
      </c>
      <c r="I56" s="126">
        <f>I55/$C$12*I14</f>
        <v>0.41700873775188912</v>
      </c>
      <c r="J56" s="98"/>
      <c r="K56" s="98"/>
      <c r="L56" s="127" t="s">
        <v>114</v>
      </c>
    </row>
    <row r="57" spans="2:13" ht="5.25" customHeight="1" x14ac:dyDescent="0.15">
      <c r="B57" s="128"/>
      <c r="C57" s="129"/>
      <c r="D57" s="43"/>
      <c r="E57" s="43"/>
      <c r="F57" s="46"/>
      <c r="H57" s="128"/>
      <c r="I57" s="129"/>
      <c r="J57" s="43"/>
      <c r="K57" s="43"/>
      <c r="L57" s="46"/>
    </row>
    <row r="58" spans="2:13" ht="12.75" customHeight="1" x14ac:dyDescent="0.2">
      <c r="B58" s="119" t="s">
        <v>50</v>
      </c>
      <c r="C58" s="272">
        <v>40</v>
      </c>
      <c r="D58" s="120" t="s">
        <v>5</v>
      </c>
      <c r="E58" s="120"/>
      <c r="F58" s="121" t="s">
        <v>6</v>
      </c>
      <c r="H58" s="119" t="s">
        <v>50</v>
      </c>
      <c r="I58" s="272">
        <v>40</v>
      </c>
      <c r="J58" s="120" t="s">
        <v>5</v>
      </c>
      <c r="K58" s="120"/>
      <c r="L58" s="121" t="s">
        <v>6</v>
      </c>
    </row>
    <row r="59" spans="2:13" ht="12.75" customHeight="1" x14ac:dyDescent="0.2">
      <c r="B59" s="122" t="s">
        <v>59</v>
      </c>
      <c r="C59" s="123">
        <f>C58*2^0.5</f>
        <v>56.568542494923804</v>
      </c>
      <c r="D59" s="26"/>
      <c r="E59" s="26"/>
      <c r="F59" s="38" t="s">
        <v>30</v>
      </c>
      <c r="H59" s="122" t="s">
        <v>59</v>
      </c>
      <c r="I59" s="123">
        <f>I58*2^0.5</f>
        <v>56.568542494923804</v>
      </c>
      <c r="J59" s="26"/>
      <c r="K59" s="26"/>
      <c r="L59" s="38" t="s">
        <v>30</v>
      </c>
    </row>
    <row r="60" spans="2:13" ht="12.75" customHeight="1" x14ac:dyDescent="0.2">
      <c r="B60" s="122" t="s">
        <v>60</v>
      </c>
      <c r="C60" s="123">
        <f>C59*C28</f>
        <v>135.76450198781711</v>
      </c>
      <c r="D60" s="26" t="s">
        <v>16</v>
      </c>
      <c r="E60" s="26"/>
      <c r="F60" s="38" t="s">
        <v>68</v>
      </c>
      <c r="H60" s="122" t="s">
        <v>60</v>
      </c>
      <c r="I60" s="123">
        <f>I59*I28</f>
        <v>16.970562748477139</v>
      </c>
      <c r="J60" s="26" t="s">
        <v>16</v>
      </c>
      <c r="K60" s="26"/>
      <c r="L60" s="38" t="s">
        <v>68</v>
      </c>
    </row>
    <row r="61" spans="2:13" ht="12.75" customHeight="1" x14ac:dyDescent="0.2">
      <c r="B61" s="130" t="s">
        <v>61</v>
      </c>
      <c r="C61" s="131">
        <f>C60/$C$12*C29</f>
        <v>1.8408746032246388</v>
      </c>
      <c r="D61" s="132"/>
      <c r="E61" s="132"/>
      <c r="F61" s="133" t="s">
        <v>31</v>
      </c>
      <c r="H61" s="130" t="s">
        <v>61</v>
      </c>
      <c r="I61" s="131">
        <f>I60/$C$12*I29</f>
        <v>0.23010932540307985</v>
      </c>
      <c r="J61" s="132"/>
      <c r="K61" s="132"/>
      <c r="L61" s="133" t="s">
        <v>31</v>
      </c>
    </row>
    <row r="62" spans="2:13" ht="4.5" customHeight="1" x14ac:dyDescent="0.15">
      <c r="B62" s="134"/>
      <c r="C62" s="43"/>
      <c r="D62" s="43"/>
      <c r="E62" s="135"/>
      <c r="F62" s="46"/>
      <c r="H62" s="134"/>
      <c r="I62" s="43"/>
      <c r="J62" s="43"/>
      <c r="K62" s="135"/>
      <c r="L62" s="46"/>
    </row>
    <row r="63" spans="2:13" ht="12.75" customHeight="1" x14ac:dyDescent="0.15">
      <c r="B63" s="136" t="s">
        <v>37</v>
      </c>
      <c r="C63" s="137">
        <f>C54*C59/2</f>
        <v>12000</v>
      </c>
      <c r="D63" s="120" t="s">
        <v>25</v>
      </c>
      <c r="E63" s="120"/>
      <c r="F63" s="121" t="s">
        <v>24</v>
      </c>
      <c r="H63" s="136" t="s">
        <v>37</v>
      </c>
      <c r="I63" s="137">
        <f>I54*I59/2</f>
        <v>12000</v>
      </c>
      <c r="J63" s="120" t="s">
        <v>25</v>
      </c>
      <c r="K63" s="120"/>
      <c r="L63" s="121" t="s">
        <v>24</v>
      </c>
      <c r="M63" s="23" t="s">
        <v>13</v>
      </c>
    </row>
    <row r="64" spans="2:13" ht="15.75" customHeight="1" x14ac:dyDescent="0.2">
      <c r="B64" s="130" t="s">
        <v>64</v>
      </c>
      <c r="C64" s="138">
        <f>1/2*C56*C15*C61*C16</f>
        <v>0.29387014795203592</v>
      </c>
      <c r="D64" s="132"/>
      <c r="E64" s="132"/>
      <c r="F64" s="191" t="s">
        <v>145</v>
      </c>
      <c r="H64" s="130" t="s">
        <v>64</v>
      </c>
      <c r="I64" s="138">
        <f>1/2*I56*I15*I61*I16</f>
        <v>3.673376849400449E-2</v>
      </c>
      <c r="J64" s="132"/>
      <c r="K64" s="132"/>
      <c r="L64" s="191" t="s">
        <v>145</v>
      </c>
    </row>
    <row r="65" spans="2:12" ht="5.25" customHeight="1" x14ac:dyDescent="0.15">
      <c r="B65" s="128"/>
      <c r="C65" s="139"/>
      <c r="D65" s="43"/>
      <c r="E65" s="43"/>
      <c r="F65" s="46"/>
      <c r="H65" s="128"/>
      <c r="I65" s="139"/>
      <c r="J65" s="43"/>
      <c r="K65" s="43"/>
      <c r="L65" s="46"/>
    </row>
    <row r="66" spans="2:12" hidden="1" x14ac:dyDescent="0.15">
      <c r="B66" s="36"/>
      <c r="C66" s="16"/>
      <c r="D66" s="26"/>
      <c r="E66" s="26"/>
      <c r="F66" s="38"/>
      <c r="H66" s="36"/>
      <c r="I66" s="16"/>
      <c r="J66" s="26"/>
      <c r="K66" s="26"/>
      <c r="L66" s="38"/>
    </row>
    <row r="67" spans="2:12" hidden="1" x14ac:dyDescent="0.15">
      <c r="B67" s="36"/>
      <c r="C67" s="16"/>
      <c r="D67" s="26"/>
      <c r="E67" s="26"/>
      <c r="F67" s="38"/>
      <c r="H67" s="36"/>
      <c r="I67" s="16"/>
      <c r="J67" s="26"/>
      <c r="K67" s="26"/>
      <c r="L67" s="38"/>
    </row>
    <row r="68" spans="2:12" hidden="1" x14ac:dyDescent="0.15">
      <c r="B68" s="36"/>
      <c r="C68" s="16"/>
      <c r="D68" s="26"/>
      <c r="E68" s="26"/>
      <c r="F68" s="38"/>
      <c r="H68" s="36"/>
      <c r="I68" s="16"/>
      <c r="J68" s="26"/>
      <c r="K68" s="26"/>
      <c r="L68" s="38"/>
    </row>
    <row r="69" spans="2:12" hidden="1" x14ac:dyDescent="0.15">
      <c r="B69" s="36"/>
      <c r="C69" s="16"/>
      <c r="D69" s="26"/>
      <c r="E69" s="26"/>
      <c r="F69" s="38"/>
      <c r="H69" s="36"/>
      <c r="I69" s="16"/>
      <c r="J69" s="26"/>
      <c r="K69" s="26"/>
      <c r="L69" s="38"/>
    </row>
    <row r="70" spans="2:12" ht="16" thickBot="1" x14ac:dyDescent="0.25">
      <c r="B70" s="195" t="s">
        <v>45</v>
      </c>
      <c r="C70" s="196">
        <f>C64*$C$13/(C34*2)</f>
        <v>1147.9302654376404</v>
      </c>
      <c r="D70" s="180" t="s">
        <v>12</v>
      </c>
      <c r="E70" s="180"/>
      <c r="F70" s="181"/>
      <c r="H70" s="195" t="s">
        <v>45</v>
      </c>
      <c r="I70" s="196">
        <f>I64*$C$13/(I34*2)</f>
        <v>143.49128317970505</v>
      </c>
      <c r="J70" s="180" t="s">
        <v>12</v>
      </c>
      <c r="K70" s="180"/>
      <c r="L70" s="181"/>
    </row>
    <row r="73" spans="2:12" x14ac:dyDescent="0.15">
      <c r="B73" s="140"/>
      <c r="C73" s="140"/>
    </row>
    <row r="74" spans="2:12" x14ac:dyDescent="0.15">
      <c r="B74" s="140"/>
      <c r="C74" s="140"/>
    </row>
    <row r="75" spans="2:12" x14ac:dyDescent="0.15">
      <c r="B75" s="140"/>
      <c r="C75" s="140"/>
    </row>
  </sheetData>
  <dataValidations disablePrompts="1" count="3">
    <dataValidation type="list" allowBlank="1" showInputMessage="1" showErrorMessage="1" sqref="C29 I29">
      <formula1>"2,4,8,16"</formula1>
    </dataValidation>
    <dataValidation allowBlank="1" showInputMessage="1" showErrorMessage="1" sqref="E10:E11 K10:K11"/>
    <dataValidation type="whole" allowBlank="1" showInputMessage="1" showErrorMessage="1" sqref="E34 K34">
      <formula1>0</formula1>
      <formula2>15</formula2>
    </dataValidation>
  </dataValidations>
  <pageMargins left="0.7" right="0.7" top="0.75" bottom="0.75" header="0.3" footer="0.3"/>
  <pageSetup paperSize="9" orientation="portrait" r:id="rId1"/>
  <ignoredErrors>
    <ignoredError sqref="C34 C26:C27 I26:I28 C31 I30:I31 I33:I34 I23:I24 C23" unlocked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38"/>
  <sheetViews>
    <sheetView workbookViewId="0">
      <selection activeCell="B31" sqref="B31"/>
    </sheetView>
  </sheetViews>
  <sheetFormatPr baseColWidth="10" defaultColWidth="8.83203125" defaultRowHeight="13" x14ac:dyDescent="0.15"/>
  <cols>
    <col min="1" max="1" width="2.6640625" style="23" customWidth="1"/>
    <col min="2" max="2" width="22.1640625" style="23" customWidth="1"/>
    <col min="3" max="3" width="11.5" style="23" customWidth="1"/>
    <col min="4" max="4" width="8.1640625" style="23" customWidth="1"/>
    <col min="5" max="5" width="9.5" style="23" customWidth="1"/>
    <col min="6" max="6" width="55.1640625" style="23" customWidth="1"/>
    <col min="7" max="7" width="2.6640625" style="23" customWidth="1"/>
    <col min="8" max="8" width="19.1640625" style="23" customWidth="1"/>
    <col min="9" max="9" width="11.6640625" style="23" customWidth="1"/>
    <col min="10" max="10" width="8.1640625" style="23" customWidth="1"/>
    <col min="11" max="11" width="9.5" style="23" customWidth="1"/>
    <col min="12" max="12" width="62.5" style="23" customWidth="1"/>
    <col min="13" max="13" width="2.6640625" style="23" customWidth="1"/>
    <col min="14" max="16384" width="8.83203125" style="23"/>
  </cols>
  <sheetData>
    <row r="2" spans="1:12" s="198" customFormat="1" ht="20" x14ac:dyDescent="0.15">
      <c r="A2" s="25"/>
      <c r="B2" s="199" t="s">
        <v>190</v>
      </c>
      <c r="C2" s="44"/>
      <c r="D2" s="23"/>
      <c r="E2" s="23"/>
      <c r="F2" s="197"/>
      <c r="G2" s="25"/>
      <c r="H2" s="199" t="s">
        <v>191</v>
      </c>
      <c r="I2" s="23"/>
      <c r="J2" s="23"/>
      <c r="K2" s="23"/>
      <c r="L2" s="197"/>
    </row>
    <row r="3" spans="1:12" x14ac:dyDescent="0.15">
      <c r="B3" s="44"/>
      <c r="C3" s="44"/>
      <c r="D3" s="43"/>
      <c r="E3" s="27"/>
      <c r="F3" s="44" t="s">
        <v>176</v>
      </c>
      <c r="H3" s="44"/>
      <c r="I3" s="44"/>
      <c r="J3" s="43"/>
      <c r="K3" s="44"/>
      <c r="L3" s="44"/>
    </row>
    <row r="4" spans="1:12" x14ac:dyDescent="0.15">
      <c r="B4" s="44"/>
      <c r="C4" s="44"/>
      <c r="D4" s="43"/>
      <c r="E4" s="28"/>
      <c r="F4" s="44" t="s">
        <v>147</v>
      </c>
      <c r="H4" s="44"/>
      <c r="I4" s="44"/>
      <c r="J4" s="43"/>
      <c r="K4" s="44"/>
      <c r="L4" s="44"/>
    </row>
    <row r="5" spans="1:12" ht="14.25" customHeight="1" x14ac:dyDescent="0.15">
      <c r="B5" s="44"/>
      <c r="C5" s="44"/>
      <c r="D5" s="43"/>
      <c r="E5" s="286"/>
      <c r="F5" s="44" t="s">
        <v>178</v>
      </c>
      <c r="H5" s="44"/>
      <c r="I5" s="44"/>
      <c r="J5" s="43"/>
      <c r="K5" s="44"/>
      <c r="L5" s="44"/>
    </row>
    <row r="6" spans="1:12" x14ac:dyDescent="0.15">
      <c r="B6" s="44"/>
      <c r="C6" s="44"/>
      <c r="D6" s="43"/>
      <c r="E6" s="30"/>
      <c r="F6" s="44" t="s">
        <v>180</v>
      </c>
      <c r="H6" s="44"/>
      <c r="I6" s="44"/>
      <c r="J6" s="43"/>
      <c r="K6" s="44"/>
      <c r="L6" s="44"/>
    </row>
    <row r="7" spans="1:12" ht="14" thickBot="1" x14ac:dyDescent="0.2">
      <c r="B7" s="44"/>
      <c r="C7" s="44"/>
      <c r="D7" s="43"/>
      <c r="E7" s="43"/>
      <c r="F7" s="44"/>
      <c r="H7" s="44"/>
      <c r="I7" s="44"/>
      <c r="J7" s="43"/>
      <c r="K7" s="43"/>
      <c r="L7" s="44"/>
    </row>
    <row r="8" spans="1:12" ht="14" thickBot="1" x14ac:dyDescent="0.2">
      <c r="B8" s="31" t="s">
        <v>83</v>
      </c>
      <c r="C8" s="32"/>
      <c r="D8" s="33"/>
      <c r="E8" s="34"/>
      <c r="F8" s="35"/>
      <c r="H8" s="31" t="s">
        <v>83</v>
      </c>
      <c r="I8" s="32"/>
      <c r="J8" s="33"/>
      <c r="K8" s="34"/>
      <c r="L8" s="35"/>
    </row>
    <row r="9" spans="1:12" x14ac:dyDescent="0.15">
      <c r="B9" s="36" t="s">
        <v>14</v>
      </c>
      <c r="C9" s="20" t="s">
        <v>18</v>
      </c>
      <c r="D9" s="26"/>
      <c r="E9" s="37"/>
      <c r="F9" s="38"/>
      <c r="H9" s="36" t="s">
        <v>14</v>
      </c>
      <c r="I9" s="20" t="s">
        <v>18</v>
      </c>
      <c r="J9" s="26"/>
      <c r="K9" s="37"/>
      <c r="L9" s="38"/>
    </row>
    <row r="10" spans="1:12" ht="14" thickBot="1" x14ac:dyDescent="0.2">
      <c r="B10" s="36"/>
      <c r="C10" s="26"/>
      <c r="D10" s="26"/>
      <c r="E10" s="37"/>
      <c r="F10" s="38"/>
      <c r="H10" s="36"/>
      <c r="I10" s="26"/>
      <c r="J10" s="26"/>
      <c r="K10" s="37"/>
      <c r="L10" s="38"/>
    </row>
    <row r="11" spans="1:12" x14ac:dyDescent="0.15">
      <c r="B11" s="36" t="s">
        <v>11</v>
      </c>
      <c r="C11" s="21">
        <v>1200</v>
      </c>
      <c r="D11" s="26" t="s">
        <v>16</v>
      </c>
      <c r="E11" s="26"/>
      <c r="F11" s="38" t="s">
        <v>1</v>
      </c>
      <c r="H11" s="36" t="s">
        <v>11</v>
      </c>
      <c r="I11" s="21">
        <v>1200</v>
      </c>
      <c r="J11" s="26" t="s">
        <v>16</v>
      </c>
      <c r="K11" s="26"/>
      <c r="L11" s="38" t="s">
        <v>1</v>
      </c>
    </row>
    <row r="12" spans="1:12" x14ac:dyDescent="0.15">
      <c r="B12" s="36" t="s">
        <v>35</v>
      </c>
      <c r="C12" s="18">
        <v>7812.5</v>
      </c>
      <c r="D12" s="26" t="s">
        <v>12</v>
      </c>
      <c r="E12" s="26"/>
      <c r="F12" s="38" t="s">
        <v>29</v>
      </c>
      <c r="H12" s="36" t="s">
        <v>35</v>
      </c>
      <c r="I12" s="18">
        <v>7812.5</v>
      </c>
      <c r="J12" s="26" t="s">
        <v>12</v>
      </c>
      <c r="K12" s="26"/>
      <c r="L12" s="38" t="s">
        <v>29</v>
      </c>
    </row>
    <row r="13" spans="1:12" x14ac:dyDescent="0.15">
      <c r="B13" s="36" t="s">
        <v>2</v>
      </c>
      <c r="C13" s="18">
        <v>2</v>
      </c>
      <c r="D13" s="26"/>
      <c r="E13" s="26"/>
      <c r="F13" s="38" t="s">
        <v>85</v>
      </c>
      <c r="H13" s="36" t="s">
        <v>2</v>
      </c>
      <c r="I13" s="18">
        <v>2</v>
      </c>
      <c r="J13" s="26"/>
      <c r="K13" s="26"/>
      <c r="L13" s="38" t="s">
        <v>85</v>
      </c>
    </row>
    <row r="14" spans="1:12" s="25" customFormat="1" ht="15" x14ac:dyDescent="0.15">
      <c r="B14" s="57" t="s">
        <v>139</v>
      </c>
      <c r="C14" s="270">
        <f>0.875</f>
        <v>0.875</v>
      </c>
      <c r="D14" s="26"/>
      <c r="E14" s="26"/>
      <c r="F14" s="56"/>
      <c r="H14" s="57" t="s">
        <v>139</v>
      </c>
      <c r="I14" s="270">
        <f>0.875</f>
        <v>0.875</v>
      </c>
      <c r="J14" s="26"/>
      <c r="K14" s="26"/>
      <c r="L14" s="56"/>
    </row>
    <row r="15" spans="1:12" s="25" customFormat="1" ht="15" x14ac:dyDescent="0.15">
      <c r="B15" s="57" t="s">
        <v>140</v>
      </c>
      <c r="C15" s="270">
        <f>0.875</f>
        <v>0.875</v>
      </c>
      <c r="D15" s="26"/>
      <c r="E15" s="26"/>
      <c r="F15" s="56"/>
      <c r="H15" s="57" t="s">
        <v>140</v>
      </c>
      <c r="I15" s="270">
        <f>0.875</f>
        <v>0.875</v>
      </c>
      <c r="J15" s="26"/>
      <c r="K15" s="26"/>
      <c r="L15" s="56"/>
    </row>
    <row r="16" spans="1:12" ht="16" thickBot="1" x14ac:dyDescent="0.25">
      <c r="B16" s="39" t="s">
        <v>135</v>
      </c>
      <c r="C16" s="19">
        <v>1</v>
      </c>
      <c r="D16" s="40"/>
      <c r="E16" s="40"/>
      <c r="F16" s="41" t="s">
        <v>84</v>
      </c>
      <c r="H16" s="39" t="s">
        <v>135</v>
      </c>
      <c r="I16" s="19">
        <v>1</v>
      </c>
      <c r="J16" s="40"/>
      <c r="K16" s="40"/>
      <c r="L16" s="41" t="s">
        <v>84</v>
      </c>
    </row>
    <row r="17" spans="2:12" ht="14" thickBot="1" x14ac:dyDescent="0.2">
      <c r="B17" s="42"/>
      <c r="C17" s="43"/>
      <c r="D17" s="43"/>
      <c r="E17" s="43"/>
      <c r="F17" s="44"/>
      <c r="H17" s="45"/>
      <c r="I17" s="43"/>
      <c r="J17" s="43"/>
      <c r="K17" s="43"/>
      <c r="L17" s="46"/>
    </row>
    <row r="18" spans="2:12" s="52" customFormat="1" ht="14" thickBot="1" x14ac:dyDescent="0.2">
      <c r="B18" s="47" t="s">
        <v>86</v>
      </c>
      <c r="C18" s="48"/>
      <c r="D18" s="49"/>
      <c r="E18" s="50" t="s">
        <v>192</v>
      </c>
      <c r="F18" s="51"/>
      <c r="H18" s="47" t="s">
        <v>86</v>
      </c>
      <c r="I18" s="48"/>
      <c r="J18" s="49"/>
      <c r="K18" s="50" t="s">
        <v>192</v>
      </c>
      <c r="L18" s="51"/>
    </row>
    <row r="19" spans="2:12" s="25" customFormat="1" x14ac:dyDescent="0.15">
      <c r="B19" s="57" t="s">
        <v>10</v>
      </c>
      <c r="C19" s="7">
        <v>770000</v>
      </c>
      <c r="D19" s="316" t="s">
        <v>7</v>
      </c>
      <c r="E19" s="58"/>
      <c r="F19" s="56" t="s">
        <v>20</v>
      </c>
      <c r="H19" s="57" t="s">
        <v>10</v>
      </c>
      <c r="I19" s="7">
        <v>810000</v>
      </c>
      <c r="J19" s="316" t="s">
        <v>7</v>
      </c>
      <c r="K19" s="58"/>
      <c r="L19" s="56" t="s">
        <v>20</v>
      </c>
    </row>
    <row r="20" spans="2:12" s="25" customFormat="1" x14ac:dyDescent="0.15">
      <c r="B20" s="110" t="s">
        <v>8</v>
      </c>
      <c r="C20" s="11">
        <v>470</v>
      </c>
      <c r="D20" s="316" t="s">
        <v>7</v>
      </c>
      <c r="E20" s="58"/>
      <c r="F20" s="56" t="s">
        <v>20</v>
      </c>
      <c r="H20" s="110" t="s">
        <v>8</v>
      </c>
      <c r="I20" s="11">
        <v>470</v>
      </c>
      <c r="J20" s="316" t="s">
        <v>7</v>
      </c>
      <c r="K20" s="58"/>
      <c r="L20" s="56" t="s">
        <v>20</v>
      </c>
    </row>
    <row r="21" spans="2:12" s="25" customFormat="1" ht="15" x14ac:dyDescent="0.15">
      <c r="B21" s="69" t="s">
        <v>53</v>
      </c>
      <c r="C21" s="291">
        <v>230</v>
      </c>
      <c r="D21" s="323" t="s">
        <v>184</v>
      </c>
      <c r="E21" s="321" t="str">
        <f>DEC2HEX(C21/C22*1000)</f>
        <v>1A30</v>
      </c>
      <c r="F21" s="56" t="s">
        <v>186</v>
      </c>
      <c r="H21" s="69" t="s">
        <v>53</v>
      </c>
      <c r="I21" s="291">
        <v>230</v>
      </c>
      <c r="J21" s="323" t="s">
        <v>184</v>
      </c>
      <c r="K21" s="321" t="str">
        <f>DEC2HEX(I21/I22*1000)</f>
        <v>18E5</v>
      </c>
      <c r="L21" s="56" t="s">
        <v>19</v>
      </c>
    </row>
    <row r="22" spans="2:12" hidden="1" x14ac:dyDescent="0.15">
      <c r="B22" s="110" t="s">
        <v>70</v>
      </c>
      <c r="C22" s="14">
        <f>C11*(1+C19/C20)/(C14*C13*2^15)</f>
        <v>34.304503466945292</v>
      </c>
      <c r="D22" s="324" t="s">
        <v>16</v>
      </c>
      <c r="E22" s="58"/>
      <c r="F22" s="113" t="s">
        <v>137</v>
      </c>
      <c r="H22" s="110" t="s">
        <v>70</v>
      </c>
      <c r="I22" s="14">
        <f>I11*(1+I19/I20)/(I14*I13*2^15)</f>
        <v>36.085468512537993</v>
      </c>
      <c r="J22" s="324" t="s">
        <v>16</v>
      </c>
      <c r="K22" s="58"/>
      <c r="L22" s="113" t="s">
        <v>137</v>
      </c>
    </row>
    <row r="23" spans="2:12" ht="8.25" customHeight="1" x14ac:dyDescent="0.15">
      <c r="B23" s="60"/>
      <c r="C23" s="61"/>
      <c r="D23" s="325"/>
      <c r="E23" s="63"/>
      <c r="F23" s="64"/>
      <c r="H23" s="60"/>
      <c r="I23" s="61"/>
      <c r="J23" s="325"/>
      <c r="K23" s="63"/>
      <c r="L23" s="64"/>
    </row>
    <row r="24" spans="2:12" s="306" customFormat="1" x14ac:dyDescent="0.15">
      <c r="B24" s="302" t="s">
        <v>22</v>
      </c>
      <c r="C24" s="11">
        <v>3.5066700000000002</v>
      </c>
      <c r="D24" s="326" t="s">
        <v>9</v>
      </c>
      <c r="E24" s="304"/>
      <c r="F24" s="305" t="s">
        <v>146</v>
      </c>
      <c r="H24" s="302" t="s">
        <v>22</v>
      </c>
      <c r="I24" s="11">
        <v>0.3</v>
      </c>
      <c r="J24" s="326" t="s">
        <v>9</v>
      </c>
      <c r="K24" s="304"/>
      <c r="L24" s="305" t="s">
        <v>146</v>
      </c>
    </row>
    <row r="25" spans="2:12" s="25" customFormat="1" x14ac:dyDescent="0.15">
      <c r="B25" s="57" t="s">
        <v>0</v>
      </c>
      <c r="C25" s="292">
        <v>2</v>
      </c>
      <c r="D25" s="316"/>
      <c r="E25" s="70"/>
      <c r="F25" s="56" t="s">
        <v>73</v>
      </c>
      <c r="H25" s="57" t="s">
        <v>0</v>
      </c>
      <c r="I25" s="292">
        <v>16</v>
      </c>
      <c r="J25" s="316"/>
      <c r="K25" s="70"/>
      <c r="L25" s="56" t="s">
        <v>73</v>
      </c>
    </row>
    <row r="26" spans="2:12" s="25" customFormat="1" ht="16" thickBot="1" x14ac:dyDescent="0.2">
      <c r="B26" s="307" t="s">
        <v>62</v>
      </c>
      <c r="C26" s="308">
        <v>5</v>
      </c>
      <c r="D26" s="327" t="s">
        <v>185</v>
      </c>
      <c r="E26" s="322" t="str">
        <f>DEC2HEX(C26/C27*1000)</f>
        <v>D17</v>
      </c>
      <c r="F26" s="79" t="s">
        <v>15</v>
      </c>
      <c r="H26" s="307" t="s">
        <v>62</v>
      </c>
      <c r="I26" s="308">
        <v>5</v>
      </c>
      <c r="J26" s="327" t="s">
        <v>185</v>
      </c>
      <c r="K26" s="322" t="str">
        <f>DEC2HEX(I26/I27*1000)</f>
        <v>8F5</v>
      </c>
      <c r="L26" s="79" t="s">
        <v>15</v>
      </c>
    </row>
    <row r="27" spans="2:12" hidden="1" x14ac:dyDescent="0.15">
      <c r="B27" s="110" t="s">
        <v>82</v>
      </c>
      <c r="C27" s="97">
        <f>C11/(C15*C25*2^17*C24*C16)*1000</f>
        <v>1.491895394042944</v>
      </c>
      <c r="D27" s="36" t="s">
        <v>49</v>
      </c>
      <c r="E27" s="58"/>
      <c r="F27" s="113" t="s">
        <v>197</v>
      </c>
      <c r="H27" s="110" t="s">
        <v>82</v>
      </c>
      <c r="I27" s="97">
        <f>I11/(I15*I25*2^17*I24*I16)*1000</f>
        <v>2.1798270089285716</v>
      </c>
      <c r="J27" s="36" t="s">
        <v>49</v>
      </c>
      <c r="K27" s="58"/>
      <c r="L27" s="113" t="s">
        <v>197</v>
      </c>
    </row>
    <row r="28" spans="2:12" s="25" customFormat="1" ht="14" thickBot="1" x14ac:dyDescent="0.2">
      <c r="B28" s="277" t="s">
        <v>77</v>
      </c>
      <c r="C28" s="294">
        <f>2^(HEX2DEC(E28)-4)</f>
        <v>1</v>
      </c>
      <c r="D28" s="102" t="s">
        <v>115</v>
      </c>
      <c r="E28" s="278">
        <v>4</v>
      </c>
      <c r="F28" s="79" t="s">
        <v>116</v>
      </c>
      <c r="H28" s="277" t="s">
        <v>77</v>
      </c>
      <c r="I28" s="294">
        <f>2^(HEX2DEC(K28)-4)</f>
        <v>1</v>
      </c>
      <c r="J28" s="102" t="s">
        <v>115</v>
      </c>
      <c r="K28" s="278">
        <v>4</v>
      </c>
      <c r="L28" s="79" t="s">
        <v>116</v>
      </c>
    </row>
    <row r="29" spans="2:12" ht="14" thickBot="1" x14ac:dyDescent="0.2"/>
    <row r="30" spans="2:12" s="52" customFormat="1" ht="14" thickBot="1" x14ac:dyDescent="0.2">
      <c r="B30" s="349" t="s">
        <v>183</v>
      </c>
      <c r="C30" s="350"/>
      <c r="D30" s="350"/>
      <c r="E30" s="351"/>
      <c r="F30" s="51"/>
      <c r="H30" s="349" t="s">
        <v>183</v>
      </c>
      <c r="I30" s="350"/>
      <c r="J30" s="350"/>
      <c r="K30" s="351"/>
      <c r="L30" s="51"/>
    </row>
    <row r="31" spans="2:12" s="25" customFormat="1" ht="15" x14ac:dyDescent="0.15">
      <c r="B31" s="57" t="s">
        <v>177</v>
      </c>
      <c r="C31" s="319" t="s">
        <v>196</v>
      </c>
      <c r="D31" s="317" t="s">
        <v>189</v>
      </c>
      <c r="E31" s="58"/>
      <c r="F31" s="56" t="s">
        <v>182</v>
      </c>
      <c r="H31" s="57" t="s">
        <v>177</v>
      </c>
      <c r="I31" s="319" t="s">
        <v>207</v>
      </c>
      <c r="J31" s="317" t="s">
        <v>189</v>
      </c>
      <c r="K31" s="58"/>
      <c r="L31" s="56" t="s">
        <v>182</v>
      </c>
    </row>
    <row r="32" spans="2:12" s="25" customFormat="1" ht="15" customHeight="1" x14ac:dyDescent="0.15">
      <c r="B32" s="110" t="s">
        <v>26</v>
      </c>
      <c r="C32" s="311">
        <f>IF(AND(((14336*HEX2DEC(E21)/HEX2DEC(C31)-12288)&gt;(0)),((14336*HEX2DEC(E21)/HEX2DEC(C31)-12288)&lt;4096)),14336*HEX2DEC(E21)/HEX2DEC(C31)-12288,0)</f>
        <v>2037.3158443881348</v>
      </c>
      <c r="D32" s="54"/>
      <c r="E32" s="55" t="str">
        <f>DEC2HEX(C32)</f>
        <v>7F5</v>
      </c>
      <c r="F32" s="56" t="s">
        <v>188</v>
      </c>
      <c r="H32" s="110" t="s">
        <v>26</v>
      </c>
      <c r="I32" s="311">
        <f>IF(AND(((14336*HEX2DEC(K21)/HEX2DEC(I31)-12288)&gt;(0)),((14336*HEX2DEC(K21)/HEX2DEC(I31)-12288)&lt;4096)),14336*HEX2DEC(K21)/HEX2DEC(I31)-12288,0)</f>
        <v>3601.2744347826083</v>
      </c>
      <c r="J32" s="54"/>
      <c r="K32" s="55" t="str">
        <f>DEC2HEX(I32)</f>
        <v>E11</v>
      </c>
      <c r="L32" s="56" t="s">
        <v>188</v>
      </c>
    </row>
    <row r="33" spans="2:12" hidden="1" x14ac:dyDescent="0.15">
      <c r="B33" s="110" t="s">
        <v>70</v>
      </c>
      <c r="C33" s="14" t="e">
        <f>C23*(1+C31/#REF!)/(C26*C25*2^15)</f>
        <v>#VALUE!</v>
      </c>
      <c r="D33" s="36" t="s">
        <v>16</v>
      </c>
      <c r="E33" s="58"/>
      <c r="F33" s="113" t="s">
        <v>137</v>
      </c>
      <c r="H33" s="110" t="s">
        <v>70</v>
      </c>
      <c r="I33" s="14" t="e">
        <f>I23*(1+I31/#REF!)/(I26*I25*2^15)</f>
        <v>#REF!</v>
      </c>
      <c r="J33" s="36" t="s">
        <v>16</v>
      </c>
      <c r="K33" s="58"/>
      <c r="L33" s="113" t="s">
        <v>137</v>
      </c>
    </row>
    <row r="34" spans="2:12" x14ac:dyDescent="0.15">
      <c r="B34" s="314" t="s">
        <v>181</v>
      </c>
      <c r="C34" s="312">
        <f>0.125*C32/2048+0.75</f>
        <v>0.87434789089283049</v>
      </c>
      <c r="D34" s="112"/>
      <c r="E34" s="58"/>
      <c r="F34" s="113" t="s">
        <v>187</v>
      </c>
      <c r="H34" s="314" t="s">
        <v>181</v>
      </c>
      <c r="I34" s="312">
        <f>0.125*I32/2048+0.75</f>
        <v>0.96980434782608693</v>
      </c>
      <c r="J34" s="112"/>
      <c r="K34" s="58"/>
      <c r="L34" s="113" t="s">
        <v>187</v>
      </c>
    </row>
    <row r="35" spans="2:12" ht="7.5" customHeight="1" x14ac:dyDescent="0.15">
      <c r="B35" s="65"/>
      <c r="C35" s="66"/>
      <c r="D35" s="293"/>
      <c r="E35" s="63"/>
      <c r="F35" s="64"/>
      <c r="H35" s="65"/>
      <c r="I35" s="66"/>
      <c r="J35" s="293"/>
      <c r="K35" s="63"/>
      <c r="L35" s="64"/>
    </row>
    <row r="36" spans="2:12" s="306" customFormat="1" ht="15" x14ac:dyDescent="0.15">
      <c r="B36" s="110" t="s">
        <v>179</v>
      </c>
      <c r="C36" s="320" t="s">
        <v>209</v>
      </c>
      <c r="D36" s="318" t="s">
        <v>189</v>
      </c>
      <c r="E36" s="304"/>
      <c r="F36" s="305" t="s">
        <v>182</v>
      </c>
      <c r="H36" s="110" t="s">
        <v>179</v>
      </c>
      <c r="I36" s="320" t="s">
        <v>208</v>
      </c>
      <c r="J36" s="318" t="s">
        <v>189</v>
      </c>
      <c r="K36" s="304"/>
      <c r="L36" s="305" t="s">
        <v>182</v>
      </c>
    </row>
    <row r="37" spans="2:12" s="25" customFormat="1" x14ac:dyDescent="0.15">
      <c r="B37" s="110" t="s">
        <v>27</v>
      </c>
      <c r="C37" s="311">
        <f>IF(AND(((14336*HEX2DEC(E26)/HEX2DEC(C36)-12288)&gt;(0)),((14336*HEX2DEC(E26)/HEX2DEC(C36)-12288)&lt;4096)),14336*HEX2DEC(E26)/HEX2DEC(C36)-12288,0)</f>
        <v>2048</v>
      </c>
      <c r="D37" s="54"/>
      <c r="E37" s="55" t="str">
        <f>DEC2HEX(C37)</f>
        <v>800</v>
      </c>
      <c r="F37" s="56" t="s">
        <v>188</v>
      </c>
      <c r="H37" s="110" t="s">
        <v>27</v>
      </c>
      <c r="I37" s="311">
        <f>IF(AND(((14336*HEX2DEC(K26)/HEX2DEC(I36)-12288)&gt;(0)),((14336*HEX2DEC(K26)/HEX2DEC(I36)-12288)&lt;4096)),14336*HEX2DEC(K26)/HEX2DEC(I36)-12288,0)</f>
        <v>2756.5986270022877</v>
      </c>
      <c r="J37" s="54"/>
      <c r="K37" s="55" t="str">
        <f>DEC2HEX(I37)</f>
        <v>AC4</v>
      </c>
      <c r="L37" s="56" t="s">
        <v>188</v>
      </c>
    </row>
    <row r="38" spans="2:12" ht="14" thickBot="1" x14ac:dyDescent="0.2">
      <c r="B38" s="315" t="s">
        <v>181</v>
      </c>
      <c r="C38" s="313">
        <f>0.125*C37/2048+0.75</f>
        <v>0.875</v>
      </c>
      <c r="D38" s="309"/>
      <c r="E38" s="310"/>
      <c r="F38" s="79" t="s">
        <v>187</v>
      </c>
      <c r="H38" s="315" t="s">
        <v>181</v>
      </c>
      <c r="I38" s="313">
        <f>0.125*I37/2048+0.75</f>
        <v>0.9182494279176201</v>
      </c>
      <c r="J38" s="309"/>
      <c r="K38" s="310"/>
      <c r="L38" s="79" t="s">
        <v>187</v>
      </c>
    </row>
  </sheetData>
  <mergeCells count="2">
    <mergeCell ref="B30:E30"/>
    <mergeCell ref="H30:K30"/>
  </mergeCells>
  <dataValidations count="3">
    <dataValidation type="whole" allowBlank="1" showInputMessage="1" showErrorMessage="1" sqref="E28 K28">
      <formula1>0</formula1>
      <formula2>15</formula2>
    </dataValidation>
    <dataValidation allowBlank="1" showInputMessage="1" showErrorMessage="1" sqref="E9:E10 K9:K10"/>
    <dataValidation type="list" allowBlank="1" showInputMessage="1" showErrorMessage="1" sqref="C25 I25">
      <formula1>"2,4,8,16"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4</vt:i4>
      </vt:variant>
    </vt:vector>
  </HeadingPairs>
  <TitlesOfParts>
    <vt:vector size="4" baseType="lpstr">
      <vt:lpstr>Read Me</vt:lpstr>
      <vt:lpstr>Design wizard calculation</vt:lpstr>
      <vt:lpstr>Calculation for shunt and CT</vt:lpstr>
      <vt:lpstr>Amplitude Calibration</vt:lpstr>
    </vt:vector>
  </TitlesOfParts>
  <Company>STMicroelectronics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Giuseppe Privitera</dc:creator>
  <cp:lastModifiedBy>Pascal Verboket</cp:lastModifiedBy>
  <dcterms:created xsi:type="dcterms:W3CDTF">2005-03-16T10:04:40Z</dcterms:created>
  <dcterms:modified xsi:type="dcterms:W3CDTF">2018-02-16T10:26:09Z</dcterms:modified>
</cp:coreProperties>
</file>